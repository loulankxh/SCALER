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Turing100M" sheetId="1" r:id="rId5"/>
    <sheet state="visible" name="Sift100M" sheetId="2" r:id="rId6"/>
    <sheet state="visible" name="Deep100M" sheetId="3" r:id="rId7"/>
    <sheet state="visible" name="Laion100M" sheetId="4" r:id="rId8"/>
    <sheet state="visible" name="Sift1B" sheetId="5" r:id="rId9"/>
  </sheets>
  <definedNames/>
  <calcPr/>
</workbook>
</file>

<file path=xl/sharedStrings.xml><?xml version="1.0" encoding="utf-8"?>
<sst xmlns="http://schemas.openxmlformats.org/spreadsheetml/2006/main" count="415" uniqueCount="44">
  <si>
    <t>ScaleGANN (R64 L128)
Epsilon 1.2</t>
  </si>
  <si>
    <t>DiskANN (R64 L128)</t>
  </si>
  <si>
    <t>Naive CAGRA (R64 L128)
10M / shard</t>
  </si>
  <si>
    <t>GGNN (R64 L128)
10M / shard</t>
  </si>
  <si>
    <t>Optimized Build</t>
  </si>
  <si>
    <t>time (ms)</t>
  </si>
  <si>
    <t>Build Performance</t>
  </si>
  <si>
    <t>Partition</t>
  </si>
  <si>
    <t>Build+Merge Stage 1</t>
  </si>
  <si>
    <t>Build</t>
  </si>
  <si>
    <t>Merge Stage 2</t>
  </si>
  <si>
    <t>Merge</t>
  </si>
  <si>
    <t>Total</t>
  </si>
  <si>
    <t>Total CPU (Partition+Merge)</t>
  </si>
  <si>
    <t>Search Performance</t>
  </si>
  <si>
    <t>Avg latency</t>
  </si>
  <si>
    <t># visited</t>
  </si>
  <si>
    <t># dis cmp</t>
  </si>
  <si>
    <t>recall</t>
  </si>
  <si>
    <t>K = 10, L = 15</t>
  </si>
  <si>
    <t>K = 10, L = 20</t>
  </si>
  <si>
    <t>K = 10, L = 30</t>
  </si>
  <si>
    <t>K = 10, L = 40</t>
  </si>
  <si>
    <t>K = 10, L = 50</t>
  </si>
  <si>
    <t>K = 10, L = 64</t>
  </si>
  <si>
    <t>K = 10, L = 128</t>
  </si>
  <si>
    <t>K = 10, L = 256</t>
  </si>
  <si>
    <t>K = 10, L = 512</t>
  </si>
  <si>
    <t>DiskANN (R32 L64)</t>
  </si>
  <si>
    <t>K = 10, L = 1024</t>
  </si>
  <si>
    <t>ScaleGANN (R64 L128)
Epsilon 1.2 Unoptimized Build</t>
  </si>
  <si>
    <t>K = 10, L = 12</t>
  </si>
  <si>
    <t>GGNN (R20 S32)
10M / shard</t>
  </si>
  <si>
    <t>ScaleGANN (R64 L128)
Epsilon 1.1</t>
  </si>
  <si>
    <t>ScaleGANN (R64 L128)
Epsilon 1.5</t>
  </si>
  <si>
    <t>ScaleGANN (R64 L128)
Original</t>
  </si>
  <si>
    <t>GGNN (R24 S32)
10M / shard</t>
  </si>
  <si>
    <t>K = 1, L = 5</t>
  </si>
  <si>
    <t>K = 1, L = 10</t>
  </si>
  <si>
    <t>K = 1, L = 20</t>
  </si>
  <si>
    <t>K = 1, L = 30</t>
  </si>
  <si>
    <t>K = 1, L = 40</t>
  </si>
  <si>
    <t>K = 1, L = 50</t>
  </si>
  <si>
    <t>K = 1, L =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</si>
</sst>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sz val="18.0"/>
      <color theme="1"/>
      <name val="Arial"/>
    </font>
    <font>
      <color theme="1"/>
      <name val="Arial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/>
      <c r="B1" s="2" t="s">
        <v>0</v>
      </c>
      <c r="G1" s="2" t="s">
        <v>1</v>
      </c>
      <c r="L1" s="3" t="s">
        <v>2</v>
      </c>
      <c r="Q1" s="4" t="s">
        <v>3</v>
      </c>
    </row>
    <row r="2">
      <c r="A2" s="5" t="s">
        <v>4</v>
      </c>
      <c r="B2" s="5" t="s">
        <v>5</v>
      </c>
      <c r="C2" s="1"/>
      <c r="D2" s="5" t="s">
        <v>6</v>
      </c>
      <c r="E2" s="5" t="s">
        <v>5</v>
      </c>
      <c r="F2" s="1"/>
      <c r="G2" s="5" t="s">
        <v>5</v>
      </c>
      <c r="H2" s="1"/>
      <c r="I2" s="1"/>
      <c r="J2" s="1"/>
      <c r="K2" s="1"/>
      <c r="L2" s="5" t="s">
        <v>5</v>
      </c>
      <c r="M2" s="1"/>
      <c r="N2" s="1"/>
      <c r="O2" s="1"/>
      <c r="P2" s="1"/>
      <c r="Q2" s="5" t="s">
        <v>5</v>
      </c>
      <c r="R2" s="1"/>
      <c r="S2" s="1"/>
      <c r="T2" s="1"/>
      <c r="U2" s="1"/>
    </row>
    <row r="3">
      <c r="A3" s="5" t="s">
        <v>7</v>
      </c>
      <c r="B3" s="5">
        <v>144867.0</v>
      </c>
      <c r="C3" s="1"/>
      <c r="D3" s="1" t="s">
        <v>7</v>
      </c>
      <c r="E3" s="5">
        <v>309248.0</v>
      </c>
      <c r="F3" s="1"/>
      <c r="G3" s="5">
        <v>278608.0</v>
      </c>
      <c r="H3" s="1"/>
      <c r="I3" s="1"/>
      <c r="J3" s="1"/>
      <c r="K3" s="1"/>
      <c r="L3" s="5">
        <v>191619.0</v>
      </c>
      <c r="M3" s="1"/>
      <c r="N3" s="1"/>
      <c r="O3" s="1"/>
      <c r="P3" s="1"/>
      <c r="Q3" s="5">
        <v>245871.0</v>
      </c>
      <c r="R3" s="1"/>
      <c r="S3" s="1"/>
      <c r="T3" s="1"/>
      <c r="U3" s="1"/>
    </row>
    <row r="4">
      <c r="A4" s="5" t="s">
        <v>8</v>
      </c>
      <c r="B4" s="5">
        <v>3317000.0</v>
      </c>
      <c r="C4" s="1"/>
      <c r="D4" s="1" t="s">
        <v>9</v>
      </c>
      <c r="E4" s="5">
        <v>3480000.0</v>
      </c>
      <c r="F4" s="1"/>
      <c r="G4" s="5">
        <v>1.8089148E7</v>
      </c>
      <c r="H4" s="1"/>
      <c r="I4" s="1"/>
      <c r="J4" s="1"/>
      <c r="K4" s="1"/>
      <c r="L4" s="5">
        <v>1871000.0</v>
      </c>
      <c r="M4" s="1"/>
      <c r="N4" s="1"/>
      <c r="O4" s="1"/>
      <c r="P4" s="1"/>
      <c r="Q4" s="5">
        <v>1.0744E7</v>
      </c>
      <c r="R4" s="1"/>
      <c r="S4" s="1"/>
      <c r="T4" s="1"/>
      <c r="U4" s="1"/>
    </row>
    <row r="5">
      <c r="A5" s="5" t="s">
        <v>10</v>
      </c>
      <c r="B5" s="5">
        <v>154000.0</v>
      </c>
      <c r="C5" s="1"/>
      <c r="D5" s="1" t="s">
        <v>11</v>
      </c>
      <c r="E5" s="5">
        <v>2882716.0</v>
      </c>
      <c r="F5" s="1"/>
      <c r="G5" s="5">
        <v>1852842.0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5" t="s">
        <v>12</v>
      </c>
      <c r="B6" s="1">
        <f>SUM(B3:B5)</f>
        <v>3615867</v>
      </c>
      <c r="C6" s="1"/>
      <c r="D6" s="1" t="s">
        <v>12</v>
      </c>
      <c r="E6" s="1">
        <f>SUM(E3:E5)</f>
        <v>6671964</v>
      </c>
      <c r="F6" s="1"/>
      <c r="G6" s="1">
        <f>SUM(G3:G5)</f>
        <v>20220598</v>
      </c>
      <c r="H6" s="1"/>
      <c r="I6" s="1"/>
      <c r="J6" s="1"/>
      <c r="K6" s="1"/>
      <c r="L6" s="1">
        <f>SUM(L3:L5)</f>
        <v>2062619</v>
      </c>
      <c r="M6" s="1"/>
      <c r="N6" s="1"/>
      <c r="O6" s="1"/>
      <c r="P6" s="1"/>
      <c r="Q6" s="1">
        <f>SUM(Q3:Q5)</f>
        <v>10989871</v>
      </c>
      <c r="R6" s="1"/>
      <c r="S6" s="1"/>
      <c r="T6" s="1"/>
      <c r="U6" s="1"/>
    </row>
    <row r="7">
      <c r="A7" s="5"/>
      <c r="B7" s="1"/>
      <c r="C7" s="1"/>
      <c r="D7" s="5" t="s">
        <v>13</v>
      </c>
      <c r="E7" s="1">
        <f>SUM(E3,E5)</f>
        <v>3191964</v>
      </c>
      <c r="F7" s="1"/>
      <c r="G7" s="1">
        <f>SUM(G3,G5)</f>
        <v>2131450</v>
      </c>
      <c r="H7" s="1"/>
      <c r="I7" s="1"/>
      <c r="J7" s="1"/>
      <c r="K7" s="1"/>
      <c r="L7" s="1">
        <f>SUM(L3)</f>
        <v>191619</v>
      </c>
      <c r="M7" s="1"/>
      <c r="N7" s="1"/>
      <c r="O7" s="1"/>
      <c r="P7" s="1"/>
      <c r="Q7" s="1">
        <f>SUM(Q3)</f>
        <v>245871</v>
      </c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 t="s">
        <v>14</v>
      </c>
      <c r="B9" s="1" t="s">
        <v>5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5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5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5</v>
      </c>
      <c r="R9" s="1" t="s">
        <v>15</v>
      </c>
      <c r="S9" s="1" t="s">
        <v>16</v>
      </c>
      <c r="T9" s="1" t="s">
        <v>17</v>
      </c>
      <c r="U9" s="1" t="s">
        <v>18</v>
      </c>
    </row>
    <row r="10">
      <c r="A10" s="6" t="s">
        <v>19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8">
        <v>4898.0</v>
      </c>
      <c r="M10" s="8">
        <v>29.8065</v>
      </c>
      <c r="N10" s="8">
        <v>13879.4197</v>
      </c>
      <c r="O10" s="8">
        <v>14029.4197</v>
      </c>
      <c r="P10" s="8">
        <v>80.172</v>
      </c>
      <c r="Q10" s="8">
        <v>3255.0</v>
      </c>
      <c r="R10" s="8">
        <v>18.672</v>
      </c>
      <c r="S10" s="8">
        <v>14055.2143</v>
      </c>
      <c r="T10" s="8">
        <v>14255.2143</v>
      </c>
      <c r="U10" s="8">
        <v>77.805</v>
      </c>
      <c r="V10" s="7"/>
      <c r="W10" s="7"/>
      <c r="X10" s="7"/>
      <c r="Y10" s="7"/>
      <c r="Z10" s="7"/>
    </row>
    <row r="11">
      <c r="A11" s="6" t="s">
        <v>20</v>
      </c>
      <c r="B11" s="9">
        <v>410.0</v>
      </c>
      <c r="C11" s="9">
        <v>2.4051</v>
      </c>
      <c r="D11" s="9">
        <v>1831.395752</v>
      </c>
      <c r="E11" s="10">
        <v>1851.395752</v>
      </c>
      <c r="F11" s="9">
        <v>73.333</v>
      </c>
      <c r="G11" s="8">
        <v>440.0</v>
      </c>
      <c r="H11" s="8">
        <v>2.2899</v>
      </c>
      <c r="I11" s="8">
        <v>1675.0883</v>
      </c>
      <c r="J11" s="8">
        <v>1695.0883</v>
      </c>
      <c r="K11" s="8">
        <v>76.493</v>
      </c>
      <c r="L11" s="8">
        <v>4827.0</v>
      </c>
      <c r="M11" s="8">
        <v>31.4295</v>
      </c>
      <c r="N11" s="8">
        <v>16557.9814</v>
      </c>
      <c r="O11" s="8">
        <v>16757.9814</v>
      </c>
      <c r="P11" s="8">
        <v>84.055</v>
      </c>
      <c r="Q11" s="8">
        <v>3632.0</v>
      </c>
      <c r="R11" s="8">
        <v>20.9782</v>
      </c>
      <c r="S11" s="8">
        <v>17884.4365</v>
      </c>
      <c r="T11" s="8">
        <v>18184.4365</v>
      </c>
      <c r="U11" s="8">
        <v>83.352</v>
      </c>
      <c r="V11" s="7"/>
      <c r="W11" s="7"/>
      <c r="X11" s="7"/>
      <c r="Y11" s="7"/>
      <c r="Z11" s="7"/>
    </row>
    <row r="12">
      <c r="A12" s="6" t="s">
        <v>21</v>
      </c>
      <c r="B12" s="9">
        <v>619.0</v>
      </c>
      <c r="C12" s="9">
        <v>3.7086</v>
      </c>
      <c r="D12" s="9">
        <v>2361.086182</v>
      </c>
      <c r="E12" s="9">
        <v>2391.086182</v>
      </c>
      <c r="F12" s="9">
        <v>79.551</v>
      </c>
      <c r="G12" s="8">
        <v>459.0</v>
      </c>
      <c r="H12" s="8">
        <v>2.608</v>
      </c>
      <c r="I12" s="8">
        <v>2128.3812</v>
      </c>
      <c r="J12" s="8">
        <v>2158.3812</v>
      </c>
      <c r="K12" s="8">
        <v>82.187</v>
      </c>
      <c r="L12" s="8">
        <v>5888.0</v>
      </c>
      <c r="M12" s="8">
        <v>39.2123</v>
      </c>
      <c r="N12" s="8">
        <v>21597.1863</v>
      </c>
      <c r="O12" s="8">
        <v>21897.1863</v>
      </c>
      <c r="P12" s="8">
        <v>88.693</v>
      </c>
      <c r="Q12" s="8">
        <v>4335.0</v>
      </c>
      <c r="R12" s="8">
        <v>26.2097</v>
      </c>
      <c r="S12" s="8">
        <v>21464.7696</v>
      </c>
      <c r="T12" s="8">
        <v>21864.7696</v>
      </c>
      <c r="U12" s="8">
        <v>86.735</v>
      </c>
      <c r="V12" s="7"/>
      <c r="W12" s="7"/>
      <c r="X12" s="7"/>
      <c r="Y12" s="7"/>
      <c r="Z12" s="7"/>
    </row>
    <row r="13">
      <c r="A13" s="6" t="s">
        <v>22</v>
      </c>
      <c r="B13" s="9">
        <v>779.0</v>
      </c>
      <c r="C13" s="9">
        <v>3.9509</v>
      </c>
      <c r="D13" s="9">
        <v>2876.98877</v>
      </c>
      <c r="E13" s="9">
        <v>2916.98877</v>
      </c>
      <c r="F13" s="9">
        <v>83.329</v>
      </c>
      <c r="G13" s="8">
        <v>529.0</v>
      </c>
      <c r="H13" s="8">
        <v>3.2039</v>
      </c>
      <c r="I13" s="8">
        <v>2576.5118</v>
      </c>
      <c r="J13" s="8">
        <v>2616.5118</v>
      </c>
      <c r="K13" s="8">
        <v>85.467</v>
      </c>
      <c r="L13" s="8">
        <v>7521.0</v>
      </c>
      <c r="M13" s="8">
        <v>52.077</v>
      </c>
      <c r="N13" s="8">
        <v>26432.2883</v>
      </c>
      <c r="O13" s="8">
        <v>26832.2883</v>
      </c>
      <c r="P13" s="8">
        <v>91.325</v>
      </c>
      <c r="Q13" s="8">
        <v>5399.0</v>
      </c>
      <c r="R13" s="8">
        <v>34.5421</v>
      </c>
      <c r="S13" s="8">
        <v>24963.888</v>
      </c>
      <c r="T13" s="8">
        <v>25463.888</v>
      </c>
      <c r="U13" s="8">
        <v>89.071</v>
      </c>
      <c r="V13" s="7"/>
      <c r="W13" s="7"/>
      <c r="X13" s="7"/>
      <c r="Y13" s="7"/>
      <c r="Z13" s="7"/>
    </row>
    <row r="14">
      <c r="A14" s="6" t="s">
        <v>23</v>
      </c>
      <c r="B14" s="9">
        <v>904.0</v>
      </c>
      <c r="C14" s="9">
        <v>5.585</v>
      </c>
      <c r="D14" s="9">
        <v>3378.008789</v>
      </c>
      <c r="E14" s="9">
        <v>3428.008789</v>
      </c>
      <c r="F14" s="9">
        <v>85.748</v>
      </c>
      <c r="G14" s="8">
        <v>603.0</v>
      </c>
      <c r="H14" s="8">
        <v>3.7816</v>
      </c>
      <c r="I14" s="8">
        <v>2997.4605</v>
      </c>
      <c r="J14" s="8">
        <v>3047.4605</v>
      </c>
      <c r="K14" s="8">
        <v>87.671</v>
      </c>
      <c r="L14" s="8">
        <v>7719.0</v>
      </c>
      <c r="M14" s="8">
        <v>52.841</v>
      </c>
      <c r="N14" s="8">
        <v>31135.0345</v>
      </c>
      <c r="O14" s="8">
        <v>31635.0345</v>
      </c>
      <c r="P14" s="8">
        <v>92.978</v>
      </c>
      <c r="Q14" s="8">
        <v>6881.0</v>
      </c>
      <c r="R14" s="8">
        <v>45.2793</v>
      </c>
      <c r="S14" s="8">
        <v>29734.7233</v>
      </c>
      <c r="T14" s="8">
        <v>30374.7233</v>
      </c>
      <c r="U14" s="8">
        <v>91.296</v>
      </c>
      <c r="V14" s="7"/>
      <c r="W14" s="7"/>
      <c r="X14" s="7"/>
      <c r="Y14" s="7"/>
      <c r="Z14" s="7"/>
    </row>
    <row r="15">
      <c r="A15" s="6" t="s">
        <v>24</v>
      </c>
      <c r="B15" s="9">
        <v>951.0</v>
      </c>
      <c r="C15" s="9">
        <v>6.468</v>
      </c>
      <c r="D15" s="9">
        <v>4062.157715</v>
      </c>
      <c r="E15" s="9">
        <v>4126.157715</v>
      </c>
      <c r="F15" s="9">
        <v>88.642</v>
      </c>
      <c r="G15" s="8">
        <v>708.0</v>
      </c>
      <c r="H15" s="8">
        <v>4.5588</v>
      </c>
      <c r="I15" s="8">
        <v>3575.6952</v>
      </c>
      <c r="J15" s="8">
        <v>3639.6952</v>
      </c>
      <c r="K15" s="8">
        <v>89.661</v>
      </c>
      <c r="L15" s="8">
        <v>9096.0</v>
      </c>
      <c r="M15" s="8">
        <v>63.1785</v>
      </c>
      <c r="N15" s="8">
        <v>37623.0294</v>
      </c>
      <c r="O15" s="8">
        <v>38263.0294</v>
      </c>
      <c r="P15" s="8">
        <v>94.586</v>
      </c>
      <c r="Q15" s="8">
        <v>12507.0</v>
      </c>
      <c r="R15" s="8">
        <v>88.7326</v>
      </c>
      <c r="S15" s="8">
        <v>51118.4441</v>
      </c>
      <c r="T15" s="8">
        <v>52398.4441</v>
      </c>
      <c r="U15" s="8">
        <v>95.95</v>
      </c>
      <c r="V15" s="7"/>
      <c r="W15" s="7"/>
      <c r="X15" s="7"/>
      <c r="Y15" s="7"/>
      <c r="Z15" s="7"/>
    </row>
    <row r="16">
      <c r="A16" s="6" t="s">
        <v>25</v>
      </c>
      <c r="B16" s="9">
        <v>1701.0</v>
      </c>
      <c r="C16" s="9">
        <v>11.696</v>
      </c>
      <c r="D16" s="9">
        <v>7090.813477</v>
      </c>
      <c r="E16" s="9">
        <v>7218.813477</v>
      </c>
      <c r="F16" s="9">
        <v>93.6</v>
      </c>
      <c r="G16" s="8">
        <v>1245.0</v>
      </c>
      <c r="H16" s="8">
        <v>8.4171</v>
      </c>
      <c r="I16" s="8">
        <v>6137.0466</v>
      </c>
      <c r="J16" s="8">
        <v>6265.0466</v>
      </c>
      <c r="K16" s="8">
        <v>94.493</v>
      </c>
      <c r="L16" s="8">
        <v>15777.0</v>
      </c>
      <c r="M16" s="8">
        <v>111.9349</v>
      </c>
      <c r="N16" s="8">
        <v>66293.1221</v>
      </c>
      <c r="O16" s="8">
        <v>67573.1221</v>
      </c>
      <c r="P16" s="8">
        <v>97.632</v>
      </c>
      <c r="Q16" s="8">
        <v>18820.0</v>
      </c>
      <c r="R16" s="8">
        <v>133.2425</v>
      </c>
      <c r="S16" s="8">
        <v>93807.7623</v>
      </c>
      <c r="T16" s="8">
        <v>96367.7623</v>
      </c>
      <c r="U16" s="8">
        <v>98.281</v>
      </c>
      <c r="V16" s="7"/>
      <c r="W16" s="7"/>
      <c r="X16" s="7"/>
      <c r="Y16" s="7"/>
      <c r="Z16" s="7"/>
    </row>
    <row r="17">
      <c r="A17" s="6" t="s">
        <v>26</v>
      </c>
      <c r="B17" s="9">
        <v>2912.0</v>
      </c>
      <c r="C17" s="9">
        <v>20.9697</v>
      </c>
      <c r="D17" s="9">
        <v>12877.958984</v>
      </c>
      <c r="E17" s="10">
        <v>13133.958984</v>
      </c>
      <c r="F17" s="9">
        <v>96.845</v>
      </c>
      <c r="G17" s="8">
        <v>2595.0</v>
      </c>
      <c r="H17" s="8">
        <v>18.4078</v>
      </c>
      <c r="I17" s="8">
        <v>11008.6636</v>
      </c>
      <c r="J17" s="8">
        <v>11264.6636</v>
      </c>
      <c r="K17" s="8">
        <v>97.141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27</v>
      </c>
    </row>
    <row r="21">
      <c r="A21" s="1"/>
      <c r="B21" s="4" t="s">
        <v>28</v>
      </c>
      <c r="G21" s="2"/>
    </row>
    <row r="22">
      <c r="A22" s="5" t="s">
        <v>6</v>
      </c>
      <c r="B22" s="5" t="s">
        <v>5</v>
      </c>
      <c r="C22" s="1"/>
      <c r="D22" s="1"/>
      <c r="E22" s="1"/>
      <c r="F22" s="1"/>
      <c r="G22" s="5"/>
      <c r="H22" s="5"/>
      <c r="I22" s="5"/>
      <c r="J22" s="1"/>
      <c r="K22" s="1"/>
    </row>
    <row r="23">
      <c r="A23" s="1" t="s">
        <v>7</v>
      </c>
      <c r="B23" s="8">
        <v>322095.0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9</v>
      </c>
      <c r="B24" s="8">
        <v>6312139.0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11</v>
      </c>
      <c r="B25" s="8">
        <v>1409738.0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12</v>
      </c>
      <c r="B26" s="8">
        <f>SUM(B23:B25)</f>
        <v>8043972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5"/>
      <c r="I27" s="1"/>
      <c r="J27" s="1"/>
      <c r="K27" s="1"/>
    </row>
    <row r="28">
      <c r="A28" s="1" t="s">
        <v>14</v>
      </c>
      <c r="B28" s="1" t="s">
        <v>5</v>
      </c>
      <c r="C28" s="1" t="s">
        <v>15</v>
      </c>
      <c r="D28" s="1" t="s">
        <v>16</v>
      </c>
      <c r="E28" s="1" t="s">
        <v>17</v>
      </c>
      <c r="F28" s="1" t="s">
        <v>18</v>
      </c>
      <c r="G28" s="1"/>
      <c r="H28" s="1"/>
      <c r="I28" s="1"/>
      <c r="J28" s="1"/>
      <c r="K28" s="1"/>
    </row>
    <row r="29">
      <c r="A29" s="6" t="s">
        <v>19</v>
      </c>
    </row>
    <row r="30">
      <c r="A30" s="6" t="s">
        <v>20</v>
      </c>
      <c r="B30" s="10">
        <v>277.0</v>
      </c>
      <c r="C30" s="11">
        <v>1.34</v>
      </c>
      <c r="D30" s="11">
        <v>974.163208</v>
      </c>
      <c r="E30" s="11">
        <v>994.163208</v>
      </c>
      <c r="F30" s="11">
        <v>62.279</v>
      </c>
    </row>
    <row r="31">
      <c r="A31" s="6" t="s">
        <v>21</v>
      </c>
      <c r="B31" s="11">
        <v>372.0</v>
      </c>
      <c r="C31" s="11">
        <v>2.0937</v>
      </c>
      <c r="D31" s="11">
        <v>1238.427246</v>
      </c>
      <c r="E31" s="11">
        <v>1268.427246</v>
      </c>
      <c r="F31" s="11">
        <v>68.912</v>
      </c>
    </row>
    <row r="32">
      <c r="A32" s="6" t="s">
        <v>22</v>
      </c>
      <c r="B32" s="11">
        <v>492.0</v>
      </c>
      <c r="C32" s="11">
        <v>2.5802</v>
      </c>
      <c r="D32" s="10">
        <v>1485.607178</v>
      </c>
      <c r="E32" s="11">
        <v>1525.607178</v>
      </c>
      <c r="F32" s="11">
        <v>73.743</v>
      </c>
    </row>
    <row r="33">
      <c r="A33" s="6" t="s">
        <v>23</v>
      </c>
      <c r="B33" s="11">
        <v>549.0</v>
      </c>
      <c r="C33" s="11">
        <v>3.0594</v>
      </c>
      <c r="D33" s="11">
        <v>1717.884033</v>
      </c>
      <c r="E33" s="11">
        <v>1767.884033</v>
      </c>
      <c r="F33" s="11">
        <v>76.779</v>
      </c>
    </row>
    <row r="34">
      <c r="A34" s="6" t="s">
        <v>24</v>
      </c>
      <c r="B34" s="11">
        <v>859.0</v>
      </c>
      <c r="C34" s="11">
        <v>5.6687</v>
      </c>
      <c r="D34" s="10">
        <v>2030.06665</v>
      </c>
      <c r="E34" s="11">
        <v>2094.06665</v>
      </c>
      <c r="F34" s="11">
        <v>79.685</v>
      </c>
    </row>
    <row r="35">
      <c r="A35" s="6" t="s">
        <v>25</v>
      </c>
      <c r="B35" s="11">
        <v>1739.0</v>
      </c>
      <c r="C35" s="11">
        <v>12.4851</v>
      </c>
      <c r="D35" s="11">
        <v>3404.288818</v>
      </c>
      <c r="E35" s="11">
        <v>3532.288818</v>
      </c>
      <c r="F35" s="11">
        <v>86.943</v>
      </c>
    </row>
    <row r="36">
      <c r="A36" s="6" t="s">
        <v>26</v>
      </c>
      <c r="B36" s="11">
        <v>3608.0</v>
      </c>
      <c r="C36" s="11">
        <v>26.209999</v>
      </c>
      <c r="D36" s="11">
        <v>5990.175781</v>
      </c>
      <c r="E36" s="11">
        <v>6246.175781</v>
      </c>
      <c r="F36" s="11">
        <v>91.799</v>
      </c>
    </row>
    <row r="37">
      <c r="A37" s="6" t="s">
        <v>27</v>
      </c>
      <c r="B37" s="11">
        <v>4780.0</v>
      </c>
      <c r="C37" s="11">
        <v>33.624401</v>
      </c>
      <c r="D37" s="11">
        <v>10962.613281</v>
      </c>
      <c r="E37" s="10">
        <v>11474.613281</v>
      </c>
      <c r="F37" s="11">
        <v>94.856</v>
      </c>
    </row>
    <row r="38">
      <c r="A38" s="12" t="s">
        <v>29</v>
      </c>
    </row>
    <row r="41">
      <c r="B41" s="3" t="s">
        <v>30</v>
      </c>
    </row>
    <row r="42">
      <c r="A42" s="1" t="s">
        <v>14</v>
      </c>
      <c r="B42" s="1" t="s">
        <v>5</v>
      </c>
      <c r="C42" s="1" t="s">
        <v>15</v>
      </c>
      <c r="D42" s="1" t="s">
        <v>16</v>
      </c>
      <c r="E42" s="1" t="s">
        <v>17</v>
      </c>
      <c r="F42" s="1" t="s">
        <v>18</v>
      </c>
    </row>
    <row r="43">
      <c r="A43" s="6" t="s">
        <v>19</v>
      </c>
      <c r="B43" s="7"/>
      <c r="C43" s="7"/>
      <c r="D43" s="7"/>
      <c r="E43" s="7"/>
      <c r="F43" s="7"/>
    </row>
    <row r="44">
      <c r="A44" s="6" t="s">
        <v>20</v>
      </c>
      <c r="B44" s="8">
        <v>475.0</v>
      </c>
      <c r="C44" s="8">
        <v>2.5783</v>
      </c>
      <c r="D44" s="8">
        <v>1813.2675</v>
      </c>
      <c r="E44" s="8">
        <v>1833.2675</v>
      </c>
      <c r="F44" s="8">
        <v>74.103</v>
      </c>
    </row>
    <row r="45">
      <c r="A45" s="6" t="s">
        <v>21</v>
      </c>
      <c r="B45" s="8">
        <v>664.0</v>
      </c>
      <c r="C45" s="8">
        <v>3.4816</v>
      </c>
      <c r="D45" s="8">
        <v>2340.9931</v>
      </c>
      <c r="E45" s="8">
        <v>2370.9931</v>
      </c>
      <c r="F45" s="8">
        <v>80.322</v>
      </c>
    </row>
    <row r="46">
      <c r="A46" s="6" t="s">
        <v>22</v>
      </c>
      <c r="B46" s="8">
        <v>753.0</v>
      </c>
      <c r="C46" s="8">
        <v>4.606</v>
      </c>
      <c r="D46" s="8">
        <v>2849.3454</v>
      </c>
      <c r="E46" s="8">
        <v>2889.3454</v>
      </c>
      <c r="F46" s="8">
        <v>84.162</v>
      </c>
    </row>
    <row r="47">
      <c r="A47" s="6" t="s">
        <v>23</v>
      </c>
      <c r="B47" s="8">
        <v>801.0</v>
      </c>
      <c r="C47" s="8">
        <v>4.7603</v>
      </c>
      <c r="D47" s="8">
        <v>3354.3953</v>
      </c>
      <c r="E47" s="8">
        <v>3404.3953</v>
      </c>
      <c r="F47" s="8">
        <v>86.669</v>
      </c>
    </row>
    <row r="48">
      <c r="A48" s="6" t="s">
        <v>24</v>
      </c>
      <c r="B48" s="8">
        <v>1129.0</v>
      </c>
      <c r="C48" s="8">
        <v>7.5748</v>
      </c>
      <c r="D48" s="8">
        <v>4035.7461</v>
      </c>
      <c r="E48" s="8">
        <v>4099.7461</v>
      </c>
      <c r="F48" s="8">
        <v>89.152</v>
      </c>
    </row>
    <row r="49">
      <c r="A49" s="6" t="s">
        <v>25</v>
      </c>
      <c r="B49" s="8">
        <v>1952.0</v>
      </c>
      <c r="C49" s="8">
        <v>14.286</v>
      </c>
      <c r="D49" s="8">
        <v>7014.1029</v>
      </c>
      <c r="E49" s="8">
        <v>7142.1029</v>
      </c>
      <c r="F49" s="8">
        <v>94.076</v>
      </c>
    </row>
    <row r="50">
      <c r="A50" s="6" t="s">
        <v>26</v>
      </c>
      <c r="B50" s="8">
        <v>3565.0</v>
      </c>
      <c r="C50" s="8">
        <v>26.0183</v>
      </c>
      <c r="D50" s="8">
        <v>12702.8337</v>
      </c>
      <c r="E50" s="8">
        <v>12958.8337</v>
      </c>
      <c r="F50" s="8">
        <v>97.15</v>
      </c>
    </row>
    <row r="51">
      <c r="A51" s="6" t="s">
        <v>27</v>
      </c>
      <c r="B51" s="7"/>
      <c r="C51" s="7"/>
      <c r="D51" s="7"/>
      <c r="E51" s="7"/>
      <c r="F51" s="7"/>
    </row>
  </sheetData>
  <mergeCells count="7">
    <mergeCell ref="B1:F1"/>
    <mergeCell ref="G1:K1"/>
    <mergeCell ref="L1:P1"/>
    <mergeCell ref="Q1:U1"/>
    <mergeCell ref="B21:F21"/>
    <mergeCell ref="G21:K21"/>
    <mergeCell ref="B41:F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/>
      <c r="B1" s="2" t="s">
        <v>0</v>
      </c>
      <c r="G1" s="2" t="s">
        <v>1</v>
      </c>
      <c r="L1" s="3" t="s">
        <v>2</v>
      </c>
      <c r="Q1" s="4" t="s">
        <v>3</v>
      </c>
    </row>
    <row r="2">
      <c r="A2" s="5" t="s">
        <v>4</v>
      </c>
      <c r="B2" s="5" t="s">
        <v>5</v>
      </c>
      <c r="C2" s="1"/>
      <c r="D2" s="5" t="s">
        <v>6</v>
      </c>
      <c r="E2" s="5" t="s">
        <v>5</v>
      </c>
      <c r="F2" s="1"/>
      <c r="G2" s="5" t="s">
        <v>5</v>
      </c>
      <c r="H2" s="1"/>
      <c r="I2" s="1"/>
      <c r="J2" s="1"/>
      <c r="K2" s="1"/>
      <c r="L2" s="5" t="s">
        <v>5</v>
      </c>
      <c r="M2" s="1"/>
      <c r="N2" s="1"/>
      <c r="O2" s="1"/>
      <c r="P2" s="1"/>
      <c r="Q2" s="5" t="s">
        <v>5</v>
      </c>
      <c r="R2" s="1"/>
      <c r="S2" s="1"/>
      <c r="T2" s="1"/>
      <c r="U2" s="1"/>
    </row>
    <row r="3">
      <c r="A3" s="5" t="s">
        <v>7</v>
      </c>
      <c r="B3" s="5">
        <v>58479.0</v>
      </c>
      <c r="C3" s="1"/>
      <c r="D3" s="1" t="s">
        <v>7</v>
      </c>
      <c r="E3" s="5">
        <v>161539.0</v>
      </c>
      <c r="F3" s="1"/>
      <c r="G3" s="5">
        <v>157487.0</v>
      </c>
      <c r="H3" s="1"/>
      <c r="I3" s="1"/>
      <c r="J3" s="1"/>
      <c r="K3" s="1"/>
      <c r="L3" s="5">
        <v>97120.0</v>
      </c>
      <c r="M3" s="1"/>
      <c r="N3" s="1"/>
      <c r="O3" s="1"/>
      <c r="P3" s="1"/>
      <c r="Q3" s="5">
        <v>100189.0</v>
      </c>
      <c r="R3" s="1"/>
      <c r="S3" s="1"/>
      <c r="T3" s="1"/>
      <c r="U3" s="1"/>
    </row>
    <row r="4">
      <c r="A4" s="5" t="s">
        <v>8</v>
      </c>
      <c r="B4" s="5">
        <v>2567000.0</v>
      </c>
      <c r="C4" s="1"/>
      <c r="D4" s="1" t="s">
        <v>9</v>
      </c>
      <c r="E4" s="5">
        <v>2570000.0</v>
      </c>
      <c r="F4" s="1"/>
      <c r="G4" s="5">
        <v>7847850.0</v>
      </c>
      <c r="H4" s="1"/>
      <c r="I4" s="1"/>
      <c r="J4" s="1"/>
      <c r="K4" s="1"/>
      <c r="L4" s="5">
        <v>1693000.0</v>
      </c>
      <c r="M4" s="1"/>
      <c r="N4" s="1"/>
      <c r="O4" s="1"/>
      <c r="P4" s="1"/>
      <c r="Q4" s="5">
        <v>7939000.0</v>
      </c>
      <c r="R4" s="1"/>
      <c r="S4" s="1"/>
      <c r="T4" s="1"/>
      <c r="U4" s="1"/>
    </row>
    <row r="5">
      <c r="A5" s="5" t="s">
        <v>10</v>
      </c>
      <c r="B5" s="5">
        <v>159000.0</v>
      </c>
      <c r="C5" s="1"/>
      <c r="D5" s="1" t="s">
        <v>11</v>
      </c>
      <c r="E5" s="5">
        <v>1994774.0</v>
      </c>
      <c r="F5" s="1"/>
      <c r="G5" s="5">
        <v>1591850.0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5" t="s">
        <v>12</v>
      </c>
      <c r="B6" s="1">
        <f>SUM(B3:B5)</f>
        <v>2784479</v>
      </c>
      <c r="C6" s="1"/>
      <c r="D6" s="1" t="s">
        <v>12</v>
      </c>
      <c r="E6" s="1">
        <f>SUM(E3:E5)</f>
        <v>4726313</v>
      </c>
      <c r="F6" s="1"/>
      <c r="G6" s="1">
        <f>SUM(G3:G5)</f>
        <v>9597187</v>
      </c>
      <c r="H6" s="1"/>
      <c r="I6" s="1"/>
      <c r="J6" s="1"/>
      <c r="K6" s="1"/>
      <c r="L6" s="1">
        <f>SUM(L3:L5)</f>
        <v>1790120</v>
      </c>
      <c r="M6" s="1"/>
      <c r="N6" s="1"/>
      <c r="O6" s="1"/>
      <c r="P6" s="1"/>
      <c r="Q6" s="1">
        <f>SUM(Q3:Q5)</f>
        <v>8039189</v>
      </c>
      <c r="R6" s="1"/>
      <c r="S6" s="1"/>
      <c r="T6" s="1"/>
      <c r="U6" s="1"/>
    </row>
    <row r="7">
      <c r="A7" s="5"/>
      <c r="B7" s="1"/>
      <c r="C7" s="1"/>
      <c r="D7" s="5" t="s">
        <v>13</v>
      </c>
      <c r="E7" s="1">
        <f>SUM(E3,E5)</f>
        <v>2156313</v>
      </c>
      <c r="F7" s="1"/>
      <c r="G7" s="1">
        <f>SUM(G3,G5)</f>
        <v>1749337</v>
      </c>
      <c r="H7" s="1"/>
      <c r="I7" s="1"/>
      <c r="J7" s="1"/>
      <c r="K7" s="1"/>
      <c r="L7" s="1">
        <f>SUM(L3)</f>
        <v>97120</v>
      </c>
      <c r="M7" s="1"/>
      <c r="N7" s="1"/>
      <c r="O7" s="1"/>
      <c r="P7" s="1"/>
      <c r="Q7" s="1">
        <f>SUM(Q3)</f>
        <v>100189</v>
      </c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 t="s">
        <v>14</v>
      </c>
      <c r="B9" s="1" t="s">
        <v>5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5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5</v>
      </c>
      <c r="M9" s="1" t="s">
        <v>15</v>
      </c>
      <c r="N9" s="1" t="s">
        <v>16</v>
      </c>
      <c r="O9" s="1" t="s">
        <v>17</v>
      </c>
      <c r="P9" s="1" t="s">
        <v>18</v>
      </c>
      <c r="Q9" s="1"/>
      <c r="R9" s="1"/>
      <c r="S9" s="1"/>
      <c r="T9" s="1"/>
      <c r="U9" s="1"/>
    </row>
    <row r="10">
      <c r="A10" s="6" t="s">
        <v>31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8">
        <v>2568.0</v>
      </c>
      <c r="M10" s="8">
        <v>15.7108</v>
      </c>
      <c r="N10" s="8">
        <v>10247.3528</v>
      </c>
      <c r="O10" s="8">
        <v>10367.3528</v>
      </c>
      <c r="P10" s="8">
        <v>92.965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19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>
        <v>2962.0</v>
      </c>
      <c r="M11" s="8">
        <v>17.9321</v>
      </c>
      <c r="N11" s="8">
        <v>11520.071</v>
      </c>
      <c r="O11" s="8">
        <v>11670.071</v>
      </c>
      <c r="P11" s="8">
        <v>94.897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20</v>
      </c>
      <c r="B12" s="11">
        <v>307.0</v>
      </c>
      <c r="C12" s="11">
        <v>1.6488</v>
      </c>
      <c r="D12" s="11">
        <v>1572.30896</v>
      </c>
      <c r="E12" s="11">
        <v>1592.30896</v>
      </c>
      <c r="F12" s="11">
        <v>82.181</v>
      </c>
      <c r="G12" s="8">
        <v>287.0</v>
      </c>
      <c r="H12" s="8">
        <v>1.4536</v>
      </c>
      <c r="I12" s="8">
        <v>1488.0952</v>
      </c>
      <c r="J12" s="8">
        <v>1508.0952</v>
      </c>
      <c r="K12" s="8">
        <v>82.724</v>
      </c>
      <c r="L12" s="8">
        <v>3589.0</v>
      </c>
      <c r="M12" s="8">
        <v>20.0312</v>
      </c>
      <c r="N12" s="8">
        <v>13631.0828</v>
      </c>
      <c r="O12" s="8">
        <v>13831.0828</v>
      </c>
      <c r="P12" s="8">
        <v>96.774</v>
      </c>
      <c r="Q12" s="8"/>
      <c r="R12" s="8"/>
      <c r="S12" s="8"/>
      <c r="T12" s="8"/>
      <c r="U12" s="8"/>
      <c r="V12" s="7"/>
      <c r="W12" s="7"/>
      <c r="X12" s="7"/>
      <c r="Y12" s="7"/>
      <c r="Z12" s="7"/>
    </row>
    <row r="13">
      <c r="A13" s="6" t="s">
        <v>21</v>
      </c>
      <c r="B13" s="11">
        <v>463.0</v>
      </c>
      <c r="C13" s="11">
        <v>2.2212</v>
      </c>
      <c r="D13" s="11">
        <v>2037.273438</v>
      </c>
      <c r="E13" s="11">
        <v>2067.273438</v>
      </c>
      <c r="F13" s="11">
        <v>88.027</v>
      </c>
      <c r="G13" s="8">
        <v>364.0</v>
      </c>
      <c r="H13" s="8">
        <v>2.0129</v>
      </c>
      <c r="I13" s="8">
        <v>1920.9704</v>
      </c>
      <c r="J13" s="8">
        <v>1950.9704</v>
      </c>
      <c r="K13" s="8">
        <v>88.343</v>
      </c>
      <c r="L13" s="8">
        <v>4108.0</v>
      </c>
      <c r="M13" s="8">
        <v>24.7861</v>
      </c>
      <c r="N13" s="8">
        <v>17786.9781</v>
      </c>
      <c r="O13" s="8">
        <v>18086.9781</v>
      </c>
      <c r="P13" s="8">
        <v>98.38</v>
      </c>
      <c r="Q13" s="8"/>
      <c r="R13" s="8"/>
      <c r="S13" s="8"/>
      <c r="T13" s="8"/>
      <c r="U13" s="8"/>
      <c r="V13" s="7"/>
      <c r="W13" s="7"/>
      <c r="X13" s="7"/>
      <c r="Y13" s="7"/>
      <c r="Z13" s="7"/>
    </row>
    <row r="14">
      <c r="A14" s="6" t="s">
        <v>22</v>
      </c>
      <c r="B14" s="11">
        <v>481.0</v>
      </c>
      <c r="C14" s="11">
        <v>2.9058</v>
      </c>
      <c r="D14" s="11">
        <v>2497.880371</v>
      </c>
      <c r="E14" s="11">
        <v>2537.880371</v>
      </c>
      <c r="F14" s="11">
        <v>91.432</v>
      </c>
      <c r="G14" s="8">
        <v>445.0</v>
      </c>
      <c r="H14" s="8">
        <v>2.6553</v>
      </c>
      <c r="I14" s="8">
        <v>2349.3683</v>
      </c>
      <c r="J14" s="8">
        <v>2389.3683</v>
      </c>
      <c r="K14" s="8">
        <v>91.589</v>
      </c>
      <c r="L14" s="8">
        <v>4586.0</v>
      </c>
      <c r="M14" s="8">
        <v>28.3617</v>
      </c>
      <c r="N14" s="8">
        <v>21862.3643</v>
      </c>
      <c r="O14" s="8">
        <v>22262.3643</v>
      </c>
      <c r="P14" s="8">
        <v>99.088</v>
      </c>
      <c r="Q14" s="8"/>
      <c r="R14" s="8"/>
      <c r="S14" s="8"/>
      <c r="T14" s="8"/>
      <c r="U14" s="8"/>
      <c r="V14" s="7"/>
      <c r="W14" s="7"/>
      <c r="X14" s="7"/>
      <c r="Y14" s="7"/>
      <c r="Z14" s="7"/>
    </row>
    <row r="15">
      <c r="A15" s="6" t="s">
        <v>23</v>
      </c>
      <c r="B15" s="11">
        <v>612.0</v>
      </c>
      <c r="C15" s="11">
        <v>3.5664</v>
      </c>
      <c r="D15" s="11">
        <v>2954.11377</v>
      </c>
      <c r="E15" s="11">
        <v>3004.11377</v>
      </c>
      <c r="F15" s="11">
        <v>93.546</v>
      </c>
      <c r="G15" s="8">
        <v>519.0</v>
      </c>
      <c r="H15" s="8">
        <v>3.153</v>
      </c>
      <c r="I15" s="8">
        <v>2768.0195</v>
      </c>
      <c r="J15" s="8">
        <v>2818.0195</v>
      </c>
      <c r="K15" s="8">
        <v>93.556</v>
      </c>
      <c r="L15" s="8">
        <v>5575.0</v>
      </c>
      <c r="M15" s="8">
        <v>36.4467</v>
      </c>
      <c r="N15" s="8">
        <v>25843.7582</v>
      </c>
      <c r="O15" s="8">
        <v>26343.7582</v>
      </c>
      <c r="P15" s="8">
        <v>99.435</v>
      </c>
      <c r="Q15" s="8"/>
      <c r="R15" s="8"/>
      <c r="S15" s="8"/>
      <c r="T15" s="8"/>
      <c r="U15" s="8"/>
      <c r="V15" s="7"/>
      <c r="W15" s="7"/>
      <c r="X15" s="7"/>
      <c r="Y15" s="7"/>
      <c r="Z15" s="7"/>
    </row>
    <row r="16">
      <c r="A16" s="6" t="s">
        <v>24</v>
      </c>
      <c r="B16" s="11">
        <v>709.0</v>
      </c>
      <c r="C16" s="11">
        <v>4.551</v>
      </c>
      <c r="D16" s="11">
        <v>3582.006348</v>
      </c>
      <c r="E16" s="10">
        <v>3646.006348</v>
      </c>
      <c r="F16" s="11">
        <v>95.415</v>
      </c>
      <c r="G16" s="8">
        <v>645.0</v>
      </c>
      <c r="H16" s="8">
        <v>4.0759</v>
      </c>
      <c r="I16" s="8">
        <v>3350.0622</v>
      </c>
      <c r="J16" s="8">
        <v>3414.0622</v>
      </c>
      <c r="K16" s="8">
        <v>95.431</v>
      </c>
      <c r="L16" s="8">
        <v>6502.0</v>
      </c>
      <c r="M16" s="8">
        <v>42.9279</v>
      </c>
      <c r="N16" s="8">
        <v>31288.1157</v>
      </c>
      <c r="O16" s="8">
        <v>31928.1157</v>
      </c>
      <c r="P16" s="8">
        <v>99.684</v>
      </c>
      <c r="Q16" s="8"/>
      <c r="R16" s="8"/>
      <c r="S16" s="8"/>
      <c r="T16" s="8"/>
      <c r="U16" s="8"/>
      <c r="V16" s="7"/>
      <c r="W16" s="7"/>
      <c r="X16" s="7"/>
      <c r="Y16" s="7"/>
      <c r="Z16" s="7"/>
    </row>
    <row r="17">
      <c r="A17" s="6" t="s">
        <v>25</v>
      </c>
      <c r="B17" s="11">
        <v>1287.0</v>
      </c>
      <c r="C17" s="11">
        <v>8.4893</v>
      </c>
      <c r="D17" s="11">
        <v>6328.400879</v>
      </c>
      <c r="E17" s="11">
        <v>6456.400879</v>
      </c>
      <c r="F17" s="11">
        <v>98.524</v>
      </c>
      <c r="G17" s="8">
        <v>1180.0</v>
      </c>
      <c r="H17" s="8">
        <v>7.7521</v>
      </c>
      <c r="I17" s="8">
        <v>5892.0443</v>
      </c>
      <c r="J17" s="8">
        <v>6020.0443</v>
      </c>
      <c r="K17" s="8">
        <v>98.442</v>
      </c>
      <c r="L17" s="7"/>
      <c r="M17" s="7"/>
      <c r="N17" s="7"/>
      <c r="O17" s="7"/>
      <c r="P17" s="7"/>
      <c r="Q17" s="8"/>
      <c r="R17" s="8"/>
      <c r="S17" s="8"/>
      <c r="T17" s="8"/>
      <c r="U17" s="8"/>
      <c r="V17" s="7"/>
      <c r="W17" s="7"/>
      <c r="X17" s="7"/>
      <c r="Y17" s="7"/>
      <c r="Z17" s="7"/>
    </row>
    <row r="18">
      <c r="A18" s="6" t="s">
        <v>26</v>
      </c>
      <c r="B18" s="11">
        <v>2503.0</v>
      </c>
      <c r="C18" s="11">
        <v>17.166</v>
      </c>
      <c r="D18" s="11">
        <v>11368.045898</v>
      </c>
      <c r="E18" s="11">
        <v>11624.045898</v>
      </c>
      <c r="F18" s="11">
        <v>99.639</v>
      </c>
      <c r="G18" s="8">
        <v>2349.0</v>
      </c>
      <c r="H18" s="8">
        <v>15.6645</v>
      </c>
      <c r="I18" s="8">
        <v>10545.274</v>
      </c>
      <c r="J18" s="8">
        <v>10801.274</v>
      </c>
      <c r="K18" s="8">
        <v>99.563</v>
      </c>
      <c r="L18" s="7"/>
      <c r="M18" s="7"/>
      <c r="N18" s="7"/>
      <c r="O18" s="7"/>
      <c r="P18" s="7"/>
      <c r="Q18" s="8"/>
      <c r="R18" s="8"/>
      <c r="S18" s="8"/>
      <c r="T18" s="8"/>
      <c r="U18" s="8"/>
      <c r="V18" s="7"/>
      <c r="W18" s="7"/>
      <c r="X18" s="7"/>
      <c r="Y18" s="7"/>
      <c r="Z18" s="7"/>
    </row>
    <row r="19">
      <c r="A19" s="6" t="s">
        <v>27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1">
      <c r="A21" s="1"/>
      <c r="B21" s="4" t="s">
        <v>28</v>
      </c>
      <c r="G21" s="2" t="s">
        <v>32</v>
      </c>
    </row>
    <row r="22">
      <c r="A22" s="5" t="s">
        <v>6</v>
      </c>
      <c r="B22" s="5" t="s">
        <v>5</v>
      </c>
      <c r="C22" s="1"/>
      <c r="D22" s="1"/>
      <c r="E22" s="1"/>
      <c r="F22" s="1"/>
      <c r="G22" s="5" t="s">
        <v>5</v>
      </c>
      <c r="H22" s="1"/>
      <c r="I22" s="1"/>
      <c r="J22" s="1"/>
      <c r="K22" s="1"/>
    </row>
    <row r="23">
      <c r="A23" s="1" t="s">
        <v>7</v>
      </c>
      <c r="B23" s="5">
        <v>118731.0</v>
      </c>
      <c r="C23" s="1"/>
      <c r="D23" s="1"/>
      <c r="E23" s="1"/>
      <c r="F23" s="1"/>
      <c r="G23" s="5">
        <v>100432.0</v>
      </c>
      <c r="H23" s="1"/>
      <c r="I23" s="1"/>
      <c r="J23" s="1"/>
      <c r="K23" s="1"/>
    </row>
    <row r="24">
      <c r="A24" s="1" t="s">
        <v>9</v>
      </c>
      <c r="B24" s="5">
        <v>3053224.0</v>
      </c>
      <c r="C24" s="1"/>
      <c r="D24" s="1"/>
      <c r="E24" s="1"/>
      <c r="F24" s="1"/>
      <c r="G24" s="5">
        <v>1287000.0</v>
      </c>
      <c r="H24" s="1"/>
      <c r="I24" s="1"/>
      <c r="J24" s="1"/>
      <c r="K24" s="1"/>
    </row>
    <row r="25">
      <c r="A25" s="1" t="s">
        <v>11</v>
      </c>
      <c r="B25" s="5">
        <v>921924.0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12</v>
      </c>
      <c r="B26" s="1">
        <f>SUM(B23:B25)</f>
        <v>4093879</v>
      </c>
      <c r="C26" s="1"/>
      <c r="D26" s="1"/>
      <c r="E26" s="1"/>
      <c r="F26" s="1"/>
      <c r="G26" s="1">
        <f>SUM(G23:G24)</f>
        <v>1387432</v>
      </c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14</v>
      </c>
      <c r="B28" s="1" t="s">
        <v>5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5</v>
      </c>
      <c r="H28" s="1" t="s">
        <v>15</v>
      </c>
      <c r="I28" s="1" t="s">
        <v>16</v>
      </c>
      <c r="J28" s="1" t="s">
        <v>17</v>
      </c>
      <c r="K28" s="1" t="s">
        <v>18</v>
      </c>
    </row>
    <row r="29">
      <c r="A29" s="6" t="s">
        <v>31</v>
      </c>
    </row>
    <row r="30">
      <c r="A30" s="6" t="s">
        <v>19</v>
      </c>
    </row>
    <row r="31">
      <c r="A31" s="6" t="s">
        <v>20</v>
      </c>
      <c r="B31" s="11">
        <v>272.0</v>
      </c>
      <c r="C31" s="11">
        <v>0.8484</v>
      </c>
      <c r="D31" s="11">
        <v>855.630371</v>
      </c>
      <c r="E31" s="11">
        <v>875.630371</v>
      </c>
      <c r="F31" s="11">
        <v>69.277</v>
      </c>
      <c r="G31" s="8">
        <v>1093.0</v>
      </c>
      <c r="H31" s="8">
        <v>0.7874</v>
      </c>
      <c r="I31" s="8">
        <v>5058.9721</v>
      </c>
      <c r="J31" s="8">
        <v>5258.9721</v>
      </c>
      <c r="K31" s="8">
        <v>77.077</v>
      </c>
    </row>
    <row r="32">
      <c r="A32" s="6" t="s">
        <v>21</v>
      </c>
      <c r="B32" s="11">
        <v>336.0</v>
      </c>
      <c r="C32" s="11">
        <v>1.1891</v>
      </c>
      <c r="D32" s="11">
        <v>1092.920288</v>
      </c>
      <c r="E32" s="11">
        <v>1122.920288</v>
      </c>
      <c r="F32" s="11">
        <v>76.475</v>
      </c>
      <c r="G32" s="8">
        <v>1250.0</v>
      </c>
      <c r="H32" s="8">
        <v>1.8164</v>
      </c>
      <c r="I32" s="8">
        <v>6395.4019</v>
      </c>
      <c r="J32" s="8">
        <v>6695.4019</v>
      </c>
      <c r="K32" s="8">
        <v>83.596</v>
      </c>
    </row>
    <row r="33">
      <c r="A33" s="6" t="s">
        <v>22</v>
      </c>
      <c r="B33" s="11">
        <v>363.0</v>
      </c>
      <c r="C33" s="11">
        <v>2.0287</v>
      </c>
      <c r="D33" s="11">
        <v>1322.699219</v>
      </c>
      <c r="E33" s="11">
        <v>1362.699219</v>
      </c>
      <c r="F33" s="11">
        <v>81.185</v>
      </c>
      <c r="G33" s="8">
        <v>1551.0</v>
      </c>
      <c r="H33" s="8">
        <v>6.2534</v>
      </c>
      <c r="I33" s="8">
        <v>7679.6948</v>
      </c>
      <c r="J33" s="8">
        <v>8079.6948</v>
      </c>
      <c r="K33" s="8">
        <v>87.671</v>
      </c>
    </row>
    <row r="34">
      <c r="A34" s="6" t="s">
        <v>23</v>
      </c>
      <c r="B34" s="11">
        <v>438.0</v>
      </c>
      <c r="C34" s="11">
        <v>2.7707</v>
      </c>
      <c r="D34" s="11">
        <v>1553.192627</v>
      </c>
      <c r="E34" s="11">
        <v>1603.192627</v>
      </c>
      <c r="F34" s="11">
        <v>84.375</v>
      </c>
      <c r="G34" s="8">
        <v>1896.0</v>
      </c>
      <c r="H34" s="8">
        <v>9.6935</v>
      </c>
      <c r="I34" s="8">
        <v>8945.8762</v>
      </c>
      <c r="J34" s="8">
        <v>9445.8762</v>
      </c>
      <c r="K34" s="8">
        <v>90.07</v>
      </c>
    </row>
    <row r="35">
      <c r="A35" s="6" t="s">
        <v>24</v>
      </c>
      <c r="B35" s="11">
        <v>646.0</v>
      </c>
      <c r="C35" s="11">
        <v>4.2053</v>
      </c>
      <c r="D35" s="11">
        <v>1865.860962</v>
      </c>
      <c r="E35" s="11">
        <v>1929.860962</v>
      </c>
      <c r="F35" s="11">
        <v>87.342</v>
      </c>
      <c r="G35" s="8">
        <v>2180.0</v>
      </c>
      <c r="H35" s="8">
        <v>10.5308</v>
      </c>
      <c r="I35" s="8">
        <v>10690.8307</v>
      </c>
      <c r="J35" s="8">
        <v>11330.8307</v>
      </c>
      <c r="K35" s="8">
        <v>92.408</v>
      </c>
    </row>
    <row r="36">
      <c r="A36" s="6" t="s">
        <v>25</v>
      </c>
      <c r="B36" s="11">
        <v>880.0</v>
      </c>
      <c r="C36" s="11">
        <v>5.9455</v>
      </c>
      <c r="D36" s="11">
        <v>3267.318359</v>
      </c>
      <c r="E36" s="11">
        <v>3395.318359</v>
      </c>
      <c r="F36" s="11">
        <v>93.847</v>
      </c>
      <c r="G36" s="8">
        <v>3712.0</v>
      </c>
      <c r="H36" s="8">
        <v>21.5657</v>
      </c>
      <c r="I36" s="8">
        <v>18419.0172</v>
      </c>
      <c r="J36" s="8">
        <v>19699.0172</v>
      </c>
      <c r="K36" s="8">
        <v>96.706</v>
      </c>
    </row>
    <row r="37">
      <c r="A37" s="6" t="s">
        <v>26</v>
      </c>
      <c r="B37" s="11">
        <v>1523.0</v>
      </c>
      <c r="C37" s="11">
        <v>8.3256</v>
      </c>
      <c r="D37" s="11">
        <v>5895.755371</v>
      </c>
      <c r="E37" s="11">
        <v>6151.755371</v>
      </c>
      <c r="F37" s="11">
        <v>97.448</v>
      </c>
      <c r="G37" s="8">
        <v>6769.0</v>
      </c>
      <c r="H37" s="8">
        <v>44.0458</v>
      </c>
      <c r="I37" s="8">
        <v>32926.1717</v>
      </c>
      <c r="J37" s="8">
        <v>35486.1717</v>
      </c>
      <c r="K37" s="8">
        <v>98.834</v>
      </c>
    </row>
    <row r="38">
      <c r="A38" s="6" t="s">
        <v>27</v>
      </c>
      <c r="B38" s="11">
        <v>2759.0</v>
      </c>
      <c r="C38" s="11">
        <v>16.8601</v>
      </c>
      <c r="D38" s="11">
        <v>10743.104492</v>
      </c>
      <c r="E38" s="11">
        <v>11255.104492</v>
      </c>
      <c r="F38" s="11">
        <v>99.009</v>
      </c>
    </row>
    <row r="42">
      <c r="A42" s="3" t="s">
        <v>33</v>
      </c>
      <c r="F42" s="3" t="s">
        <v>0</v>
      </c>
      <c r="K42" s="3" t="s">
        <v>34</v>
      </c>
      <c r="P42" s="3" t="s">
        <v>35</v>
      </c>
    </row>
    <row r="43">
      <c r="A43" s="5" t="s">
        <v>6</v>
      </c>
      <c r="B43" s="5" t="s">
        <v>5</v>
      </c>
      <c r="F43" s="5" t="s">
        <v>5</v>
      </c>
      <c r="K43" s="5" t="s">
        <v>5</v>
      </c>
      <c r="L43" s="5"/>
      <c r="P43" s="5" t="s">
        <v>5</v>
      </c>
    </row>
    <row r="44">
      <c r="A44" s="1" t="s">
        <v>7</v>
      </c>
      <c r="B44" s="5">
        <v>46339.0</v>
      </c>
      <c r="F44" s="5">
        <v>58479.0</v>
      </c>
      <c r="K44" s="5">
        <v>55464.0</v>
      </c>
      <c r="L44" s="5"/>
      <c r="P44" s="5"/>
    </row>
    <row r="45">
      <c r="A45" s="5" t="s">
        <v>8</v>
      </c>
      <c r="B45" s="5">
        <v>2233000.0</v>
      </c>
      <c r="F45" s="5">
        <v>2567000.0</v>
      </c>
      <c r="K45" s="5">
        <v>3096000.0</v>
      </c>
      <c r="L45" s="5"/>
      <c r="P45" s="5"/>
    </row>
    <row r="46">
      <c r="A46" s="5" t="s">
        <v>10</v>
      </c>
      <c r="B46" s="5">
        <v>131000.0</v>
      </c>
      <c r="F46" s="5">
        <v>159000.0</v>
      </c>
      <c r="K46" s="5">
        <v>149000.0</v>
      </c>
      <c r="L46" s="5"/>
      <c r="P46" s="5"/>
    </row>
    <row r="47">
      <c r="A47" s="1" t="s">
        <v>12</v>
      </c>
      <c r="B47" s="1">
        <f>SUM(B44:B46)</f>
        <v>2410339</v>
      </c>
      <c r="F47" s="1">
        <f>SUM(F44:F46)</f>
        <v>2784479</v>
      </c>
      <c r="K47" s="1">
        <f>SUM(K44:K46)</f>
        <v>3300464</v>
      </c>
      <c r="L47" s="1"/>
      <c r="P47" s="1">
        <f>SUM(P44:P46)</f>
        <v>0</v>
      </c>
    </row>
    <row r="49">
      <c r="A49" s="13" t="s">
        <v>14</v>
      </c>
      <c r="B49" s="1" t="s">
        <v>5</v>
      </c>
      <c r="C49" s="1" t="s">
        <v>15</v>
      </c>
      <c r="D49" s="1" t="s">
        <v>16</v>
      </c>
      <c r="E49" s="1" t="s">
        <v>17</v>
      </c>
      <c r="F49" s="1" t="s">
        <v>18</v>
      </c>
      <c r="G49" s="1" t="s">
        <v>5</v>
      </c>
      <c r="H49" s="1" t="s">
        <v>15</v>
      </c>
      <c r="I49" s="1" t="s">
        <v>16</v>
      </c>
      <c r="J49" s="1" t="s">
        <v>17</v>
      </c>
      <c r="K49" s="1" t="s">
        <v>18</v>
      </c>
      <c r="L49" s="1" t="s">
        <v>5</v>
      </c>
      <c r="M49" s="1" t="s">
        <v>15</v>
      </c>
      <c r="N49" s="1" t="s">
        <v>16</v>
      </c>
      <c r="O49" s="1" t="s">
        <v>17</v>
      </c>
      <c r="P49" s="1" t="s">
        <v>18</v>
      </c>
      <c r="Q49" s="1" t="s">
        <v>5</v>
      </c>
      <c r="R49" s="1" t="s">
        <v>15</v>
      </c>
      <c r="S49" s="1" t="s">
        <v>16</v>
      </c>
      <c r="T49" s="1" t="s">
        <v>17</v>
      </c>
      <c r="U49" s="1" t="s">
        <v>18</v>
      </c>
      <c r="V49" s="7"/>
      <c r="W49" s="7"/>
      <c r="X49" s="7"/>
      <c r="Y49" s="7"/>
      <c r="Z49" s="7"/>
    </row>
    <row r="50">
      <c r="A50" s="7" t="s">
        <v>20</v>
      </c>
      <c r="B50" s="8">
        <v>400.0</v>
      </c>
      <c r="C50" s="8">
        <v>2.1627</v>
      </c>
      <c r="D50" s="8">
        <v>1570.8296</v>
      </c>
      <c r="E50" s="8">
        <v>1590.8296</v>
      </c>
      <c r="F50" s="8">
        <v>80.759</v>
      </c>
      <c r="G50" s="11">
        <v>307.0</v>
      </c>
      <c r="H50" s="11">
        <v>1.6488</v>
      </c>
      <c r="I50" s="11">
        <v>1572.30896</v>
      </c>
      <c r="J50" s="11">
        <v>1592.30896</v>
      </c>
      <c r="K50" s="11">
        <v>82.181</v>
      </c>
      <c r="L50" s="8">
        <v>316.0</v>
      </c>
      <c r="M50" s="8">
        <v>1.7133</v>
      </c>
      <c r="N50" s="8">
        <v>1604.2893</v>
      </c>
      <c r="O50" s="8">
        <v>1624.2893</v>
      </c>
      <c r="P50" s="8">
        <v>79.067</v>
      </c>
      <c r="Q50" s="8">
        <v>318.0</v>
      </c>
      <c r="R50" s="8">
        <v>1.7518</v>
      </c>
      <c r="S50" s="8">
        <v>1630.8755</v>
      </c>
      <c r="T50" s="8">
        <v>1650.8755</v>
      </c>
      <c r="U50" s="8">
        <v>74.693</v>
      </c>
      <c r="V50" s="7"/>
      <c r="W50" s="7"/>
      <c r="X50" s="7"/>
      <c r="Y50" s="7"/>
      <c r="Z50" s="7"/>
    </row>
    <row r="51">
      <c r="A51" s="7" t="s">
        <v>21</v>
      </c>
      <c r="B51" s="8">
        <v>487.0</v>
      </c>
      <c r="C51" s="8">
        <v>2.6506</v>
      </c>
      <c r="D51" s="8">
        <v>2032.9036</v>
      </c>
      <c r="E51" s="8">
        <v>2062.9036</v>
      </c>
      <c r="F51" s="8">
        <v>86.6</v>
      </c>
      <c r="G51" s="11">
        <v>463.0</v>
      </c>
      <c r="H51" s="11">
        <v>2.2212</v>
      </c>
      <c r="I51" s="11">
        <v>2037.273438</v>
      </c>
      <c r="J51" s="11">
        <v>2067.273438</v>
      </c>
      <c r="K51" s="11">
        <v>88.027</v>
      </c>
      <c r="L51" s="8">
        <v>396.0</v>
      </c>
      <c r="M51" s="8">
        <v>2.2726</v>
      </c>
      <c r="N51" s="8">
        <v>2084.3992</v>
      </c>
      <c r="O51" s="8">
        <v>2114.3992</v>
      </c>
      <c r="P51" s="8">
        <v>85.289</v>
      </c>
      <c r="Q51" s="8">
        <v>403.0</v>
      </c>
      <c r="R51" s="8">
        <v>2.3088</v>
      </c>
      <c r="S51" s="8">
        <v>2114.5207</v>
      </c>
      <c r="T51" s="8">
        <v>2144.5207</v>
      </c>
      <c r="U51" s="8">
        <v>81.53</v>
      </c>
      <c r="V51" s="7"/>
      <c r="W51" s="7"/>
      <c r="X51" s="7"/>
      <c r="Y51" s="7"/>
      <c r="Z51" s="7"/>
    </row>
    <row r="52">
      <c r="A52" s="7" t="s">
        <v>22</v>
      </c>
      <c r="B52" s="8">
        <v>621.0</v>
      </c>
      <c r="C52" s="8">
        <v>3.7166</v>
      </c>
      <c r="D52" s="8">
        <v>2491.47</v>
      </c>
      <c r="E52" s="8">
        <v>2531.47</v>
      </c>
      <c r="F52" s="8">
        <v>89.85</v>
      </c>
      <c r="G52" s="11">
        <v>481.0</v>
      </c>
      <c r="H52" s="11">
        <v>2.9058</v>
      </c>
      <c r="I52" s="11">
        <v>2497.880371</v>
      </c>
      <c r="J52" s="11">
        <v>2537.880371</v>
      </c>
      <c r="K52" s="11">
        <v>91.432</v>
      </c>
      <c r="L52" s="8">
        <v>493.0</v>
      </c>
      <c r="M52" s="8">
        <v>3.0196</v>
      </c>
      <c r="N52" s="8">
        <v>2552.896</v>
      </c>
      <c r="O52" s="8">
        <v>2592.896</v>
      </c>
      <c r="P52" s="8">
        <v>88.955</v>
      </c>
      <c r="Q52" s="8">
        <v>516.0</v>
      </c>
      <c r="R52" s="8">
        <v>3.0622</v>
      </c>
      <c r="S52" s="8">
        <v>2593.8273</v>
      </c>
      <c r="T52" s="8">
        <v>2633.8273</v>
      </c>
      <c r="U52" s="8">
        <v>85.461</v>
      </c>
      <c r="V52" s="7"/>
      <c r="W52" s="7"/>
      <c r="X52" s="7"/>
      <c r="Y52" s="7"/>
      <c r="Z52" s="7"/>
    </row>
    <row r="53">
      <c r="A53" s="7" t="s">
        <v>23</v>
      </c>
      <c r="B53" s="8">
        <v>747.0</v>
      </c>
      <c r="C53" s="8">
        <v>4.4616</v>
      </c>
      <c r="D53" s="8">
        <v>2943.08</v>
      </c>
      <c r="E53" s="8">
        <v>2993.08</v>
      </c>
      <c r="F53" s="8">
        <v>92.002</v>
      </c>
      <c r="G53" s="11">
        <v>612.0</v>
      </c>
      <c r="H53" s="11">
        <v>3.5664</v>
      </c>
      <c r="I53" s="11">
        <v>2954.11377</v>
      </c>
      <c r="J53" s="11">
        <v>3004.11377</v>
      </c>
      <c r="K53" s="11">
        <v>93.546</v>
      </c>
      <c r="L53" s="8">
        <v>587.0</v>
      </c>
      <c r="M53" s="8">
        <v>3.7569</v>
      </c>
      <c r="N53" s="8">
        <v>3020.0043</v>
      </c>
      <c r="O53" s="8">
        <v>3070.0043</v>
      </c>
      <c r="P53" s="8">
        <v>91.301</v>
      </c>
      <c r="Q53" s="8">
        <v>588.0</v>
      </c>
      <c r="R53" s="8">
        <v>3.7487</v>
      </c>
      <c r="S53" s="8">
        <v>3063.6436</v>
      </c>
      <c r="T53" s="8">
        <v>3113.6436</v>
      </c>
      <c r="U53" s="8">
        <v>88.306</v>
      </c>
      <c r="V53" s="7"/>
      <c r="W53" s="7"/>
      <c r="X53" s="7"/>
      <c r="Y53" s="7"/>
      <c r="Z53" s="7"/>
    </row>
    <row r="54">
      <c r="A54" s="7" t="s">
        <v>24</v>
      </c>
      <c r="B54" s="8">
        <v>913.0</v>
      </c>
      <c r="C54" s="8">
        <v>5.9515</v>
      </c>
      <c r="D54" s="8">
        <v>3566.8759</v>
      </c>
      <c r="E54" s="8">
        <v>3630.8759</v>
      </c>
      <c r="F54" s="8">
        <v>93.899</v>
      </c>
      <c r="G54" s="11">
        <v>709.0</v>
      </c>
      <c r="H54" s="11">
        <v>4.551</v>
      </c>
      <c r="I54" s="11">
        <v>3582.006348</v>
      </c>
      <c r="J54" s="10">
        <v>3646.006348</v>
      </c>
      <c r="K54" s="11">
        <v>95.415</v>
      </c>
      <c r="L54" s="8">
        <v>712.0</v>
      </c>
      <c r="M54" s="8">
        <v>4.6779</v>
      </c>
      <c r="N54" s="8">
        <v>3663.5331</v>
      </c>
      <c r="O54" s="8">
        <v>3727.5331</v>
      </c>
      <c r="P54" s="8">
        <v>93.581</v>
      </c>
      <c r="Q54" s="8">
        <v>713.0</v>
      </c>
      <c r="R54" s="8">
        <v>4.6632</v>
      </c>
      <c r="S54" s="8">
        <v>3720.1537</v>
      </c>
      <c r="T54" s="8">
        <v>3784.1537</v>
      </c>
      <c r="U54" s="8">
        <v>90.848</v>
      </c>
      <c r="V54" s="7"/>
      <c r="W54" s="7"/>
      <c r="X54" s="7"/>
      <c r="Y54" s="7"/>
      <c r="Z54" s="7"/>
    </row>
    <row r="55">
      <c r="A55" s="7" t="s">
        <v>25</v>
      </c>
      <c r="B55" s="8">
        <v>1554.0</v>
      </c>
      <c r="C55" s="8">
        <v>10.4312</v>
      </c>
      <c r="D55" s="8">
        <v>6297.6726</v>
      </c>
      <c r="E55" s="8">
        <v>6425.6726</v>
      </c>
      <c r="F55" s="8">
        <v>97.204</v>
      </c>
      <c r="G55" s="11">
        <v>1287.0</v>
      </c>
      <c r="H55" s="11">
        <v>8.4893</v>
      </c>
      <c r="I55" s="11">
        <v>6328.400879</v>
      </c>
      <c r="J55" s="11">
        <v>6456.400879</v>
      </c>
      <c r="K55" s="11">
        <v>98.524</v>
      </c>
      <c r="L55" s="8">
        <v>1437.0</v>
      </c>
      <c r="M55" s="8">
        <v>10.0008</v>
      </c>
      <c r="N55" s="8">
        <v>6492.408</v>
      </c>
      <c r="O55" s="8">
        <v>6620.408</v>
      </c>
      <c r="P55" s="8">
        <v>97.519</v>
      </c>
      <c r="Q55" s="8">
        <v>1309.0</v>
      </c>
      <c r="R55" s="8">
        <v>8.9687</v>
      </c>
      <c r="S55" s="8">
        <v>6606.9028</v>
      </c>
      <c r="T55" s="8">
        <v>6734.9028</v>
      </c>
      <c r="U55" s="8">
        <v>95.719</v>
      </c>
      <c r="V55" s="7"/>
      <c r="W55" s="7"/>
      <c r="X55" s="7"/>
      <c r="Y55" s="7"/>
      <c r="Z55" s="7"/>
    </row>
    <row r="56">
      <c r="A56" s="7" t="s">
        <v>26</v>
      </c>
      <c r="B56" s="8">
        <v>3002.0</v>
      </c>
      <c r="C56" s="8">
        <v>20.6443</v>
      </c>
      <c r="D56" s="8">
        <v>11318.9082</v>
      </c>
      <c r="E56" s="8">
        <v>11574.9082</v>
      </c>
      <c r="F56" s="8">
        <v>98.498</v>
      </c>
      <c r="G56" s="11">
        <v>2503.0</v>
      </c>
      <c r="H56" s="11">
        <v>17.166</v>
      </c>
      <c r="I56" s="11">
        <v>11368.045898</v>
      </c>
      <c r="J56" s="11">
        <v>11624.045898</v>
      </c>
      <c r="K56" s="11">
        <v>99.639</v>
      </c>
      <c r="L56" s="8">
        <v>2439.0</v>
      </c>
      <c r="M56" s="8">
        <v>17.2418</v>
      </c>
      <c r="N56" s="8">
        <v>11725.4654</v>
      </c>
      <c r="O56" s="8">
        <v>11981.4654</v>
      </c>
      <c r="P56" s="8">
        <v>99.079</v>
      </c>
      <c r="Q56" s="8">
        <v>2510.0</v>
      </c>
      <c r="R56" s="8">
        <v>17.6349</v>
      </c>
      <c r="S56" s="8">
        <v>11958.1423</v>
      </c>
      <c r="T56" s="8">
        <v>12214.1423</v>
      </c>
      <c r="U56" s="8">
        <v>98.164</v>
      </c>
      <c r="V56" s="7"/>
      <c r="W56" s="7"/>
      <c r="X56" s="7"/>
      <c r="Y56" s="7"/>
      <c r="Z56" s="7"/>
    </row>
    <row r="60">
      <c r="B60" s="3" t="s">
        <v>30</v>
      </c>
    </row>
    <row r="61">
      <c r="A61" s="1" t="s">
        <v>14</v>
      </c>
      <c r="B61" s="1" t="s">
        <v>5</v>
      </c>
      <c r="C61" s="1" t="s">
        <v>15</v>
      </c>
      <c r="D61" s="1" t="s">
        <v>16</v>
      </c>
      <c r="E61" s="1" t="s">
        <v>17</v>
      </c>
      <c r="F61" s="1" t="s">
        <v>18</v>
      </c>
    </row>
    <row r="62">
      <c r="A62" s="6" t="s">
        <v>31</v>
      </c>
      <c r="B62" s="7"/>
      <c r="C62" s="7"/>
      <c r="D62" s="7"/>
      <c r="E62" s="7"/>
      <c r="F62" s="7"/>
    </row>
    <row r="63">
      <c r="A63" s="6" t="s">
        <v>19</v>
      </c>
      <c r="B63" s="7"/>
      <c r="C63" s="7"/>
      <c r="D63" s="7"/>
      <c r="E63" s="7"/>
      <c r="F63" s="7"/>
    </row>
    <row r="64">
      <c r="A64" s="6" t="s">
        <v>20</v>
      </c>
      <c r="B64" s="8">
        <v>310.0</v>
      </c>
      <c r="C64" s="8">
        <v>1.5567</v>
      </c>
      <c r="D64" s="8">
        <v>1586.4834</v>
      </c>
      <c r="E64" s="8">
        <v>1606.4834</v>
      </c>
      <c r="F64" s="8">
        <v>80.14</v>
      </c>
    </row>
    <row r="65">
      <c r="A65" s="6" t="s">
        <v>21</v>
      </c>
      <c r="B65" s="8">
        <v>388.0</v>
      </c>
      <c r="C65" s="8">
        <v>2.1484</v>
      </c>
      <c r="D65" s="8">
        <v>2061.1872</v>
      </c>
      <c r="E65" s="8">
        <v>2091.1872</v>
      </c>
      <c r="F65" s="8">
        <v>86.138</v>
      </c>
    </row>
    <row r="66">
      <c r="A66" s="6" t="s">
        <v>22</v>
      </c>
      <c r="B66" s="8">
        <v>473.0</v>
      </c>
      <c r="C66" s="8">
        <v>2.8589</v>
      </c>
      <c r="D66" s="8">
        <v>2526.7405</v>
      </c>
      <c r="E66" s="8">
        <v>2566.7405</v>
      </c>
      <c r="F66" s="8">
        <v>89.631</v>
      </c>
    </row>
    <row r="67">
      <c r="A67" s="6" t="s">
        <v>23</v>
      </c>
      <c r="B67" s="8">
        <v>586.0</v>
      </c>
      <c r="C67" s="8">
        <v>3.4653</v>
      </c>
      <c r="D67" s="8">
        <v>2992.8725</v>
      </c>
      <c r="E67" s="8">
        <v>3042.8725</v>
      </c>
      <c r="F67" s="8">
        <v>91.893</v>
      </c>
    </row>
    <row r="68">
      <c r="A68" s="6" t="s">
        <v>24</v>
      </c>
      <c r="B68" s="8">
        <v>755.0</v>
      </c>
      <c r="C68" s="8">
        <v>4.6553</v>
      </c>
      <c r="D68" s="8">
        <v>3634.6789</v>
      </c>
      <c r="E68" s="8">
        <v>3698.6789</v>
      </c>
      <c r="F68" s="8">
        <v>93.775</v>
      </c>
    </row>
    <row r="69">
      <c r="A69" s="6" t="s">
        <v>25</v>
      </c>
      <c r="B69" s="8">
        <v>1910.0</v>
      </c>
      <c r="C69" s="8">
        <v>9.7444</v>
      </c>
      <c r="D69" s="8">
        <v>6458.0813</v>
      </c>
      <c r="E69" s="8">
        <v>6586.0813</v>
      </c>
      <c r="F69" s="8">
        <v>97.199</v>
      </c>
    </row>
    <row r="70">
      <c r="A70" s="6" t="s">
        <v>26</v>
      </c>
      <c r="B70" s="8">
        <v>2807.0</v>
      </c>
      <c r="C70" s="8">
        <v>19.0035</v>
      </c>
      <c r="D70" s="8">
        <v>11667.4532</v>
      </c>
      <c r="E70" s="8">
        <v>11923.4532</v>
      </c>
      <c r="F70" s="8">
        <v>98.428</v>
      </c>
    </row>
    <row r="71">
      <c r="A71" s="6" t="s">
        <v>27</v>
      </c>
      <c r="B71" s="7"/>
      <c r="C71" s="7"/>
      <c r="D71" s="7"/>
      <c r="E71" s="7"/>
      <c r="F71" s="7"/>
    </row>
  </sheetData>
  <mergeCells count="11">
    <mergeCell ref="F42:J42"/>
    <mergeCell ref="K42:O42"/>
    <mergeCell ref="B60:F60"/>
    <mergeCell ref="B1:F1"/>
    <mergeCell ref="G1:K1"/>
    <mergeCell ref="L1:P1"/>
    <mergeCell ref="Q1:U1"/>
    <mergeCell ref="B21:F21"/>
    <mergeCell ref="G21:K21"/>
    <mergeCell ref="A42:E42"/>
    <mergeCell ref="P42:T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/>
      <c r="B1" s="2" t="s">
        <v>0</v>
      </c>
      <c r="G1" s="2" t="s">
        <v>1</v>
      </c>
      <c r="L1" s="3" t="s">
        <v>2</v>
      </c>
      <c r="Q1" s="4"/>
    </row>
    <row r="2">
      <c r="A2" s="5" t="s">
        <v>4</v>
      </c>
      <c r="B2" s="5" t="s">
        <v>5</v>
      </c>
      <c r="C2" s="1"/>
      <c r="D2" s="5" t="s">
        <v>6</v>
      </c>
      <c r="E2" s="5" t="s">
        <v>5</v>
      </c>
      <c r="F2" s="1"/>
      <c r="G2" s="5" t="s">
        <v>5</v>
      </c>
      <c r="H2" s="1"/>
      <c r="I2" s="1"/>
      <c r="J2" s="1"/>
      <c r="K2" s="1"/>
      <c r="L2" s="5" t="s">
        <v>5</v>
      </c>
      <c r="M2" s="1"/>
      <c r="N2" s="1"/>
      <c r="O2" s="1"/>
      <c r="P2" s="1"/>
      <c r="Q2" s="5"/>
      <c r="R2" s="1"/>
      <c r="S2" s="1"/>
      <c r="T2" s="1"/>
      <c r="U2" s="1"/>
    </row>
    <row r="3">
      <c r="A3" s="5" t="s">
        <v>7</v>
      </c>
      <c r="B3" s="5">
        <v>109161.0</v>
      </c>
      <c r="C3" s="1"/>
      <c r="D3" s="1" t="s">
        <v>7</v>
      </c>
      <c r="E3" s="5">
        <v>245588.0</v>
      </c>
      <c r="F3" s="1"/>
      <c r="G3" s="5">
        <v>326089.0</v>
      </c>
      <c r="H3" s="1"/>
      <c r="I3" s="1"/>
      <c r="J3" s="1"/>
      <c r="K3" s="1"/>
      <c r="L3" s="5">
        <v>102178.0</v>
      </c>
      <c r="M3" s="1"/>
      <c r="N3" s="1"/>
      <c r="O3" s="1"/>
      <c r="P3" s="1"/>
      <c r="Q3" s="5"/>
      <c r="R3" s="1"/>
      <c r="S3" s="1"/>
      <c r="T3" s="1"/>
      <c r="U3" s="1"/>
    </row>
    <row r="4">
      <c r="A4" s="5" t="s">
        <v>8</v>
      </c>
      <c r="B4" s="5">
        <v>2638000.0</v>
      </c>
      <c r="C4" s="1"/>
      <c r="D4" s="1" t="s">
        <v>9</v>
      </c>
      <c r="E4" s="5">
        <v>2797000.0</v>
      </c>
      <c r="F4" s="1"/>
      <c r="G4" s="5">
        <v>1.9155026E7</v>
      </c>
      <c r="H4" s="1"/>
      <c r="I4" s="1"/>
      <c r="J4" s="1"/>
      <c r="K4" s="1"/>
      <c r="L4" s="5">
        <v>1673000.0</v>
      </c>
      <c r="M4" s="1"/>
      <c r="N4" s="1"/>
      <c r="O4" s="1"/>
      <c r="P4" s="1"/>
      <c r="Q4" s="5"/>
      <c r="R4" s="1"/>
      <c r="S4" s="1"/>
      <c r="T4" s="1"/>
      <c r="U4" s="1"/>
    </row>
    <row r="5">
      <c r="A5" s="5" t="s">
        <v>10</v>
      </c>
      <c r="B5" s="5">
        <v>123000.0</v>
      </c>
      <c r="C5" s="1"/>
      <c r="D5" s="1" t="s">
        <v>11</v>
      </c>
      <c r="E5" s="5">
        <v>2108238.0</v>
      </c>
      <c r="F5" s="1"/>
      <c r="G5" s="5">
        <v>1677423.0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5" t="s">
        <v>12</v>
      </c>
      <c r="B6" s="1">
        <f>SUM(B3:B5)</f>
        <v>2870161</v>
      </c>
      <c r="C6" s="1"/>
      <c r="D6" s="1" t="s">
        <v>12</v>
      </c>
      <c r="E6" s="1">
        <f>SUM(E3:E5)</f>
        <v>5150826</v>
      </c>
      <c r="F6" s="1"/>
      <c r="G6" s="1">
        <f>SUM(G3:G5)</f>
        <v>21158538</v>
      </c>
      <c r="H6" s="1"/>
      <c r="I6" s="1"/>
      <c r="J6" s="1"/>
      <c r="K6" s="1"/>
      <c r="L6" s="1">
        <f>SUM(L3:L5)</f>
        <v>1775178</v>
      </c>
      <c r="M6" s="1"/>
      <c r="N6" s="1"/>
      <c r="O6" s="1"/>
      <c r="P6" s="1"/>
      <c r="Q6" s="1"/>
      <c r="R6" s="1"/>
      <c r="S6" s="1"/>
      <c r="T6" s="1"/>
      <c r="U6" s="1"/>
    </row>
    <row r="7">
      <c r="A7" s="5"/>
      <c r="B7" s="1"/>
      <c r="C7" s="1"/>
      <c r="D7" s="5" t="s">
        <v>13</v>
      </c>
      <c r="E7" s="1">
        <f>SUM(E3,E5)</f>
        <v>2353826</v>
      </c>
      <c r="F7" s="1"/>
      <c r="G7" s="1">
        <f>SUM(G3,G5)</f>
        <v>2003512</v>
      </c>
      <c r="H7" s="1"/>
      <c r="I7" s="1"/>
      <c r="J7" s="1"/>
      <c r="K7" s="1"/>
      <c r="L7" s="1">
        <f>SUM(L3)</f>
        <v>102178</v>
      </c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 t="s">
        <v>14</v>
      </c>
      <c r="B9" s="1" t="s">
        <v>5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5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5</v>
      </c>
      <c r="M9" s="1" t="s">
        <v>15</v>
      </c>
      <c r="N9" s="1" t="s">
        <v>16</v>
      </c>
      <c r="O9" s="1" t="s">
        <v>17</v>
      </c>
      <c r="P9" s="1" t="s">
        <v>18</v>
      </c>
      <c r="Q9" s="1"/>
      <c r="R9" s="1"/>
      <c r="S9" s="1"/>
      <c r="T9" s="1"/>
      <c r="U9" s="1"/>
    </row>
    <row r="10">
      <c r="A10" s="6" t="s">
        <v>19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8">
        <v>3477.0</v>
      </c>
      <c r="M10" s="8">
        <v>20.5376</v>
      </c>
      <c r="N10" s="8">
        <v>11801.445</v>
      </c>
      <c r="O10" s="8">
        <v>11951.445</v>
      </c>
      <c r="P10" s="8">
        <v>93.068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20</v>
      </c>
      <c r="B11" s="9">
        <v>365.0</v>
      </c>
      <c r="C11" s="9">
        <v>2.1559</v>
      </c>
      <c r="D11" s="9">
        <v>1616.594971</v>
      </c>
      <c r="E11" s="9">
        <v>1636.594971</v>
      </c>
      <c r="F11" s="9">
        <v>78.141</v>
      </c>
      <c r="G11" s="8">
        <v>317.0</v>
      </c>
      <c r="H11" s="8">
        <v>1.7492</v>
      </c>
      <c r="I11" s="8">
        <v>1516.7513</v>
      </c>
      <c r="J11" s="8">
        <v>1536.7513</v>
      </c>
      <c r="K11" s="8">
        <v>80.493</v>
      </c>
      <c r="L11" s="8">
        <v>4259.0</v>
      </c>
      <c r="M11" s="8">
        <v>26.6936</v>
      </c>
      <c r="N11" s="8">
        <v>13912.3724</v>
      </c>
      <c r="O11" s="8">
        <v>14112.3724</v>
      </c>
      <c r="P11" s="8">
        <v>95.298</v>
      </c>
      <c r="Q11" s="8"/>
      <c r="R11" s="8"/>
      <c r="S11" s="8"/>
      <c r="T11" s="8"/>
      <c r="U11" s="8"/>
      <c r="V11" s="7"/>
      <c r="W11" s="7"/>
      <c r="X11" s="7"/>
      <c r="Y11" s="7"/>
      <c r="Z11" s="7"/>
    </row>
    <row r="12">
      <c r="A12" s="6" t="s">
        <v>21</v>
      </c>
      <c r="B12" s="9">
        <v>514.0</v>
      </c>
      <c r="C12" s="9">
        <v>3.3377</v>
      </c>
      <c r="D12" s="9">
        <v>2087.678467</v>
      </c>
      <c r="E12" s="9">
        <v>2117.678467</v>
      </c>
      <c r="F12" s="9">
        <v>84.378</v>
      </c>
      <c r="G12" s="8">
        <v>401.0</v>
      </c>
      <c r="H12" s="8">
        <v>2.2992</v>
      </c>
      <c r="I12" s="8">
        <v>1943.5297</v>
      </c>
      <c r="J12" s="8">
        <v>1973.5297</v>
      </c>
      <c r="K12" s="8">
        <v>86.153</v>
      </c>
      <c r="L12" s="8">
        <v>5105.0</v>
      </c>
      <c r="M12" s="8">
        <v>33.0187</v>
      </c>
      <c r="N12" s="8">
        <v>18085.4567</v>
      </c>
      <c r="O12" s="8">
        <v>18385.4567</v>
      </c>
      <c r="P12" s="8">
        <v>97.48</v>
      </c>
      <c r="Q12" s="8"/>
      <c r="R12" s="8"/>
      <c r="S12" s="8"/>
      <c r="T12" s="8"/>
      <c r="U12" s="8"/>
      <c r="V12" s="7"/>
      <c r="W12" s="7"/>
      <c r="X12" s="7"/>
      <c r="Y12" s="7"/>
      <c r="Z12" s="7"/>
    </row>
    <row r="13">
      <c r="A13" s="6" t="s">
        <v>22</v>
      </c>
      <c r="B13" s="9">
        <v>582.0</v>
      </c>
      <c r="C13" s="9">
        <v>3.7464</v>
      </c>
      <c r="D13" s="9">
        <v>2553.220459</v>
      </c>
      <c r="E13" s="9">
        <v>2593.220459</v>
      </c>
      <c r="F13" s="9">
        <v>88.227</v>
      </c>
      <c r="G13" s="8">
        <v>498.0</v>
      </c>
      <c r="H13" s="8">
        <v>2.9369</v>
      </c>
      <c r="I13" s="8">
        <v>2368.1412</v>
      </c>
      <c r="J13" s="8">
        <v>2408.1412</v>
      </c>
      <c r="K13" s="8">
        <v>89.498</v>
      </c>
      <c r="L13" s="8">
        <v>5882.0</v>
      </c>
      <c r="M13" s="8">
        <v>39.0057</v>
      </c>
      <c r="N13" s="8">
        <v>22185.3747</v>
      </c>
      <c r="O13" s="8">
        <v>22585.3747</v>
      </c>
      <c r="P13" s="8">
        <v>98.433</v>
      </c>
      <c r="Q13" s="8"/>
      <c r="R13" s="8"/>
      <c r="S13" s="8"/>
      <c r="T13" s="8"/>
      <c r="U13" s="8"/>
      <c r="V13" s="7"/>
      <c r="W13" s="7"/>
      <c r="X13" s="7"/>
      <c r="Y13" s="7"/>
      <c r="Z13" s="7"/>
    </row>
    <row r="14">
      <c r="A14" s="6" t="s">
        <v>23</v>
      </c>
      <c r="B14" s="9">
        <v>690.0</v>
      </c>
      <c r="C14" s="9">
        <v>4.6257</v>
      </c>
      <c r="D14" s="9">
        <v>3011.314697</v>
      </c>
      <c r="E14" s="9">
        <v>3061.314697</v>
      </c>
      <c r="F14" s="9">
        <v>90.811</v>
      </c>
      <c r="G14" s="8">
        <v>573.0</v>
      </c>
      <c r="H14" s="8">
        <v>3.5824</v>
      </c>
      <c r="I14" s="8">
        <v>2784.333</v>
      </c>
      <c r="J14" s="8">
        <v>2834.333</v>
      </c>
      <c r="K14" s="8">
        <v>91.623</v>
      </c>
      <c r="L14" s="8">
        <v>6079.0</v>
      </c>
      <c r="M14" s="8">
        <v>40.2519</v>
      </c>
      <c r="N14" s="8">
        <v>26176.045</v>
      </c>
      <c r="O14" s="8">
        <v>26676.045</v>
      </c>
      <c r="P14" s="8">
        <v>98.925</v>
      </c>
      <c r="Q14" s="8"/>
      <c r="R14" s="8"/>
      <c r="S14" s="8"/>
      <c r="T14" s="8"/>
      <c r="U14" s="8"/>
      <c r="V14" s="7"/>
      <c r="W14" s="7"/>
      <c r="X14" s="7"/>
      <c r="Y14" s="7"/>
      <c r="Z14" s="7"/>
    </row>
    <row r="15">
      <c r="A15" s="6" t="s">
        <v>24</v>
      </c>
      <c r="B15" s="9">
        <v>811.0</v>
      </c>
      <c r="C15" s="9">
        <v>5.5576</v>
      </c>
      <c r="D15" s="9">
        <v>3643.237549</v>
      </c>
      <c r="E15" s="9">
        <v>3707.237549</v>
      </c>
      <c r="F15" s="9">
        <v>93.021</v>
      </c>
      <c r="G15" s="8">
        <v>644.0</v>
      </c>
      <c r="H15" s="8">
        <v>4.1688</v>
      </c>
      <c r="I15" s="8">
        <v>3350.6042</v>
      </c>
      <c r="J15" s="8">
        <v>3414.6042</v>
      </c>
      <c r="K15" s="8">
        <v>93.544</v>
      </c>
      <c r="L15" s="8">
        <v>6803.0</v>
      </c>
      <c r="M15" s="8">
        <v>45.573</v>
      </c>
      <c r="N15" s="8">
        <v>31620.7792</v>
      </c>
      <c r="O15" s="8">
        <v>32260.7792</v>
      </c>
      <c r="P15" s="8">
        <v>99.294</v>
      </c>
      <c r="Q15" s="8"/>
      <c r="R15" s="8"/>
      <c r="S15" s="8"/>
      <c r="T15" s="8"/>
      <c r="U15" s="8"/>
      <c r="V15" s="7"/>
      <c r="W15" s="7"/>
      <c r="X15" s="7"/>
      <c r="Y15" s="7"/>
      <c r="Z15" s="7"/>
    </row>
    <row r="16">
      <c r="A16" s="6" t="s">
        <v>25</v>
      </c>
      <c r="B16" s="10">
        <v>1445.0</v>
      </c>
      <c r="C16" s="9">
        <v>10.2936</v>
      </c>
      <c r="D16" s="9">
        <v>6414.527344</v>
      </c>
      <c r="E16" s="9">
        <v>6542.527344</v>
      </c>
      <c r="F16" s="9">
        <v>97.284</v>
      </c>
      <c r="G16" s="8">
        <v>1171.0</v>
      </c>
      <c r="H16" s="8">
        <v>7.8699</v>
      </c>
      <c r="I16" s="8">
        <v>5844.5758</v>
      </c>
      <c r="J16" s="8">
        <v>5972.5758</v>
      </c>
      <c r="K16" s="8">
        <v>97.258</v>
      </c>
      <c r="L16" s="8">
        <v>11201.0</v>
      </c>
      <c r="M16" s="8">
        <v>77.7238</v>
      </c>
      <c r="N16" s="8">
        <v>54664.9431</v>
      </c>
      <c r="O16" s="8">
        <v>55944.9431</v>
      </c>
      <c r="P16" s="8">
        <v>99.769</v>
      </c>
      <c r="Q16" s="8"/>
      <c r="R16" s="8"/>
      <c r="S16" s="8"/>
      <c r="T16" s="8"/>
      <c r="U16" s="8"/>
      <c r="V16" s="7"/>
      <c r="W16" s="7"/>
      <c r="X16" s="7"/>
      <c r="Y16" s="7"/>
      <c r="Z16" s="7"/>
    </row>
    <row r="17">
      <c r="A17" s="6" t="s">
        <v>26</v>
      </c>
      <c r="B17" s="8"/>
      <c r="C17" s="9">
        <v>25.6847</v>
      </c>
      <c r="D17" s="9">
        <v>11506.107422</v>
      </c>
      <c r="E17" s="9">
        <v>11762.107422</v>
      </c>
      <c r="F17" s="10">
        <v>99.107</v>
      </c>
      <c r="G17" s="8">
        <v>2272.0</v>
      </c>
      <c r="H17" s="8">
        <v>15.7872</v>
      </c>
      <c r="I17" s="8">
        <v>10384.6286</v>
      </c>
      <c r="J17" s="8">
        <v>10640.6286</v>
      </c>
      <c r="K17" s="8">
        <v>98.901</v>
      </c>
      <c r="L17" s="7"/>
      <c r="M17" s="7"/>
      <c r="N17" s="7"/>
      <c r="O17" s="7"/>
      <c r="P17" s="7"/>
      <c r="Q17" s="8"/>
      <c r="R17" s="8"/>
      <c r="S17" s="8"/>
      <c r="T17" s="8"/>
      <c r="U17" s="8"/>
      <c r="V17" s="7"/>
      <c r="W17" s="7"/>
      <c r="X17" s="7"/>
      <c r="Y17" s="7"/>
      <c r="Z17" s="7"/>
    </row>
    <row r="18">
      <c r="A18" s="6" t="s">
        <v>27</v>
      </c>
      <c r="B18" s="8"/>
      <c r="C18" s="10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21">
      <c r="A21" s="1"/>
      <c r="B21" s="4" t="s">
        <v>28</v>
      </c>
      <c r="G21" s="2" t="s">
        <v>36</v>
      </c>
    </row>
    <row r="22">
      <c r="A22" s="5" t="s">
        <v>6</v>
      </c>
      <c r="B22" s="5" t="s">
        <v>5</v>
      </c>
      <c r="C22" s="1"/>
      <c r="D22" s="1"/>
      <c r="E22" s="1"/>
      <c r="F22" s="1"/>
      <c r="G22" s="5" t="s">
        <v>5</v>
      </c>
      <c r="H22" s="1"/>
      <c r="I22" s="1"/>
      <c r="J22" s="1"/>
      <c r="K22" s="1"/>
    </row>
    <row r="23">
      <c r="A23" s="1" t="s">
        <v>7</v>
      </c>
      <c r="B23" s="5">
        <v>232822.0</v>
      </c>
      <c r="C23" s="1"/>
      <c r="D23" s="1"/>
      <c r="E23" s="1"/>
      <c r="F23" s="1"/>
      <c r="G23" s="1">
        <v>164293.0</v>
      </c>
      <c r="H23" s="1"/>
      <c r="I23" s="1"/>
      <c r="J23" s="1"/>
      <c r="K23" s="1"/>
    </row>
    <row r="24">
      <c r="A24" s="1" t="s">
        <v>9</v>
      </c>
      <c r="B24" s="5">
        <v>1.0445702E7</v>
      </c>
      <c r="C24" s="1"/>
      <c r="D24" s="1"/>
      <c r="E24" s="1"/>
      <c r="F24" s="1"/>
      <c r="G24" s="1">
        <v>1840000.0</v>
      </c>
      <c r="H24" s="1"/>
      <c r="I24" s="1"/>
      <c r="J24" s="1"/>
      <c r="K24" s="1"/>
    </row>
    <row r="25">
      <c r="A25" s="1" t="s">
        <v>11</v>
      </c>
      <c r="B25" s="5">
        <v>1026191.0</v>
      </c>
      <c r="C25" s="1"/>
      <c r="D25" s="1"/>
      <c r="E25" s="1"/>
      <c r="F25" s="1"/>
      <c r="G25" s="7"/>
      <c r="H25" s="1"/>
      <c r="I25" s="1"/>
      <c r="J25" s="1"/>
      <c r="K25" s="1"/>
    </row>
    <row r="26">
      <c r="A26" s="1" t="s">
        <v>12</v>
      </c>
      <c r="B26" s="1">
        <f>SUM(B23:B25)</f>
        <v>11704715</v>
      </c>
      <c r="C26" s="1"/>
      <c r="D26" s="1"/>
      <c r="E26" s="1"/>
      <c r="F26" s="1"/>
      <c r="G26" s="1">
        <f>SUM(G23:G25)</f>
        <v>2004293</v>
      </c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>
        <f>SUM(G23)</f>
        <v>164293</v>
      </c>
      <c r="H27" s="1"/>
      <c r="I27" s="1"/>
      <c r="J27" s="1"/>
      <c r="K27" s="1"/>
    </row>
    <row r="28">
      <c r="A28" s="1" t="s">
        <v>14</v>
      </c>
      <c r="B28" s="1" t="s">
        <v>5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5</v>
      </c>
      <c r="H28" s="1" t="s">
        <v>15</v>
      </c>
      <c r="I28" s="1" t="s">
        <v>16</v>
      </c>
      <c r="J28" s="1" t="s">
        <v>17</v>
      </c>
      <c r="K28" s="1" t="s">
        <v>18</v>
      </c>
    </row>
    <row r="29">
      <c r="A29" s="6" t="s">
        <v>19</v>
      </c>
    </row>
    <row r="30">
      <c r="A30" s="6" t="s">
        <v>20</v>
      </c>
      <c r="B30" s="11">
        <v>203.0</v>
      </c>
      <c r="C30" s="11">
        <v>0.9787</v>
      </c>
      <c r="D30" s="11">
        <v>872.41272</v>
      </c>
      <c r="E30" s="11">
        <v>892.41272</v>
      </c>
      <c r="F30" s="11">
        <v>67.615</v>
      </c>
      <c r="G30" s="8">
        <v>1214.0</v>
      </c>
      <c r="H30" s="8">
        <v>2.0351</v>
      </c>
      <c r="I30" s="8">
        <v>5901.1571</v>
      </c>
      <c r="J30" s="8">
        <v>6101.1571</v>
      </c>
      <c r="K30" s="8">
        <v>78.669</v>
      </c>
    </row>
    <row r="31">
      <c r="A31" s="6" t="s">
        <v>21</v>
      </c>
      <c r="B31" s="11">
        <v>303.0</v>
      </c>
      <c r="C31" s="11">
        <v>1.4045</v>
      </c>
      <c r="D31" s="11">
        <v>1104.459961</v>
      </c>
      <c r="E31" s="11">
        <v>1134.459961</v>
      </c>
      <c r="F31" s="11">
        <v>74.552</v>
      </c>
      <c r="G31" s="8">
        <v>1475.0</v>
      </c>
      <c r="H31" s="8">
        <v>4.5487</v>
      </c>
      <c r="I31" s="8">
        <v>7404.778</v>
      </c>
      <c r="J31" s="8">
        <v>7704.778</v>
      </c>
      <c r="K31" s="8">
        <v>84.455</v>
      </c>
    </row>
    <row r="32">
      <c r="A32" s="6" t="s">
        <v>22</v>
      </c>
      <c r="B32" s="11">
        <v>498.0</v>
      </c>
      <c r="C32" s="11">
        <v>2.3165</v>
      </c>
      <c r="D32" s="11">
        <v>1329.937866</v>
      </c>
      <c r="E32" s="11">
        <v>1369.937866</v>
      </c>
      <c r="F32" s="11">
        <v>78.968</v>
      </c>
      <c r="G32" s="8">
        <v>1749.0</v>
      </c>
      <c r="H32" s="8">
        <v>8.4275</v>
      </c>
      <c r="I32" s="8">
        <v>8851.4041</v>
      </c>
      <c r="J32" s="8">
        <v>9251.4041</v>
      </c>
      <c r="K32" s="8">
        <v>87.938</v>
      </c>
    </row>
    <row r="33">
      <c r="A33" s="6" t="s">
        <v>23</v>
      </c>
      <c r="B33" s="11">
        <v>536.0</v>
      </c>
      <c r="C33" s="11">
        <v>3.1496</v>
      </c>
      <c r="D33" s="11">
        <v>1551.825562</v>
      </c>
      <c r="E33" s="11">
        <v>1601.825562</v>
      </c>
      <c r="F33" s="11">
        <v>82.158</v>
      </c>
      <c r="G33" s="8">
        <v>2061.0</v>
      </c>
      <c r="H33" s="8">
        <v>10.3407</v>
      </c>
      <c r="I33" s="8">
        <v>10273.0632</v>
      </c>
      <c r="J33" s="8">
        <v>10773.0632</v>
      </c>
      <c r="K33" s="8">
        <v>90.044</v>
      </c>
    </row>
    <row r="34">
      <c r="A34" s="6" t="s">
        <v>24</v>
      </c>
      <c r="B34" s="11">
        <v>699.0</v>
      </c>
      <c r="C34" s="11">
        <v>4.4569</v>
      </c>
      <c r="D34" s="11">
        <v>1857.79126</v>
      </c>
      <c r="E34" s="11">
        <v>1921.79126</v>
      </c>
      <c r="F34" s="11">
        <v>85.196</v>
      </c>
      <c r="G34" s="8">
        <v>2282.0</v>
      </c>
      <c r="H34" s="8">
        <v>10.82</v>
      </c>
      <c r="I34" s="8">
        <v>12237.9374</v>
      </c>
      <c r="J34" s="8">
        <v>12877.9374</v>
      </c>
      <c r="K34" s="8">
        <v>92.045</v>
      </c>
    </row>
    <row r="35">
      <c r="A35" s="6" t="s">
        <v>25</v>
      </c>
      <c r="B35" s="11">
        <v>1146.0</v>
      </c>
      <c r="C35" s="11">
        <v>7.6777</v>
      </c>
      <c r="D35" s="11">
        <v>3215.92041</v>
      </c>
      <c r="E35" s="11">
        <v>3343.92041</v>
      </c>
      <c r="F35" s="11">
        <v>91.724</v>
      </c>
      <c r="G35" s="8">
        <v>3985.0</v>
      </c>
      <c r="H35" s="8">
        <v>24.2118</v>
      </c>
      <c r="I35" s="8">
        <v>20865.1442</v>
      </c>
      <c r="J35" s="8">
        <v>22145.1442</v>
      </c>
      <c r="K35" s="8">
        <v>96.137</v>
      </c>
    </row>
    <row r="36">
      <c r="A36" s="6" t="s">
        <v>26</v>
      </c>
      <c r="B36" s="11">
        <v>1704.0</v>
      </c>
      <c r="C36" s="11">
        <v>10.8188</v>
      </c>
      <c r="D36" s="11">
        <v>5761.062012</v>
      </c>
      <c r="E36" s="11">
        <v>6017.062012</v>
      </c>
      <c r="F36" s="11">
        <v>95.8</v>
      </c>
      <c r="G36" s="8">
        <v>9174.0</v>
      </c>
      <c r="H36" s="8">
        <v>64.6085</v>
      </c>
      <c r="I36" s="8">
        <v>36789.7845</v>
      </c>
      <c r="J36" s="8">
        <v>39349.7845</v>
      </c>
      <c r="K36" s="8">
        <v>98.315</v>
      </c>
    </row>
    <row r="37">
      <c r="A37" s="6" t="s">
        <v>27</v>
      </c>
      <c r="B37" s="11">
        <v>3283.0</v>
      </c>
      <c r="C37" s="11">
        <v>24.189699</v>
      </c>
      <c r="D37" s="11">
        <v>10424.106445</v>
      </c>
      <c r="E37" s="11">
        <v>10936.106445</v>
      </c>
      <c r="F37" s="11">
        <v>98.002</v>
      </c>
    </row>
    <row r="40">
      <c r="B40" s="3" t="s">
        <v>30</v>
      </c>
    </row>
    <row r="41">
      <c r="A41" s="1" t="s">
        <v>14</v>
      </c>
      <c r="B41" s="1" t="s">
        <v>5</v>
      </c>
      <c r="C41" s="1" t="s">
        <v>15</v>
      </c>
      <c r="D41" s="1" t="s">
        <v>16</v>
      </c>
      <c r="E41" s="1" t="s">
        <v>17</v>
      </c>
      <c r="F41" s="1" t="s">
        <v>18</v>
      </c>
    </row>
    <row r="42">
      <c r="A42" s="6" t="s">
        <v>19</v>
      </c>
      <c r="B42" s="7"/>
      <c r="C42" s="7"/>
      <c r="D42" s="7"/>
      <c r="E42" s="7"/>
      <c r="F42" s="7"/>
    </row>
    <row r="43">
      <c r="A43" s="6" t="s">
        <v>20</v>
      </c>
      <c r="B43" s="8">
        <v>332.0</v>
      </c>
      <c r="C43" s="8">
        <v>1.781</v>
      </c>
      <c r="D43" s="8">
        <v>1627.1648</v>
      </c>
      <c r="E43" s="8">
        <v>1647.1648</v>
      </c>
      <c r="F43" s="8">
        <v>76.116</v>
      </c>
    </row>
    <row r="44">
      <c r="A44" s="6" t="s">
        <v>21</v>
      </c>
      <c r="B44" s="8">
        <v>419.0</v>
      </c>
      <c r="C44" s="8">
        <v>2.4559</v>
      </c>
      <c r="D44" s="8">
        <v>2099.6347</v>
      </c>
      <c r="E44" s="8">
        <v>2129.6347</v>
      </c>
      <c r="F44" s="8">
        <v>82.501</v>
      </c>
    </row>
    <row r="45">
      <c r="A45" s="6" t="s">
        <v>22</v>
      </c>
      <c r="B45" s="8">
        <v>500.0</v>
      </c>
      <c r="C45" s="8">
        <v>3.078</v>
      </c>
      <c r="D45" s="8">
        <v>2567.196</v>
      </c>
      <c r="E45" s="8">
        <v>2607.196</v>
      </c>
      <c r="F45" s="8">
        <v>86.201</v>
      </c>
    </row>
    <row r="46">
      <c r="A46" s="6" t="s">
        <v>23</v>
      </c>
      <c r="B46" s="8">
        <v>625.0</v>
      </c>
      <c r="C46" s="8">
        <v>3.6915</v>
      </c>
      <c r="D46" s="8">
        <v>3028.5842</v>
      </c>
      <c r="E46" s="8">
        <v>3078.5842</v>
      </c>
      <c r="F46" s="8">
        <v>88.693</v>
      </c>
    </row>
    <row r="47">
      <c r="A47" s="6" t="s">
        <v>24</v>
      </c>
      <c r="B47" s="8">
        <v>745.0</v>
      </c>
      <c r="C47" s="8">
        <v>4.8413</v>
      </c>
      <c r="D47" s="8">
        <v>3664.4238</v>
      </c>
      <c r="E47" s="8">
        <v>3728.4238</v>
      </c>
      <c r="F47" s="8">
        <v>91.005</v>
      </c>
    </row>
    <row r="48">
      <c r="A48" s="6" t="s">
        <v>25</v>
      </c>
      <c r="B48" s="8">
        <v>1258.0</v>
      </c>
      <c r="C48" s="8">
        <v>8.6431</v>
      </c>
      <c r="D48" s="8">
        <v>6464.7418</v>
      </c>
      <c r="E48" s="8">
        <v>6592.7418</v>
      </c>
      <c r="F48" s="8">
        <v>95.304</v>
      </c>
    </row>
    <row r="49">
      <c r="A49" s="6" t="s">
        <v>26</v>
      </c>
      <c r="B49" s="8">
        <v>2486.0</v>
      </c>
      <c r="C49" s="8">
        <v>17.6681</v>
      </c>
      <c r="D49" s="8">
        <v>11632.8805</v>
      </c>
      <c r="E49" s="8">
        <v>11888.8805</v>
      </c>
      <c r="F49" s="8">
        <v>97.055</v>
      </c>
    </row>
    <row r="50">
      <c r="A50" s="6" t="s">
        <v>27</v>
      </c>
      <c r="B50" s="7"/>
      <c r="C50" s="7"/>
      <c r="D50" s="7"/>
      <c r="E50" s="7"/>
      <c r="F50" s="7"/>
    </row>
  </sheetData>
  <mergeCells count="7">
    <mergeCell ref="B1:F1"/>
    <mergeCell ref="G1:K1"/>
    <mergeCell ref="L1:P1"/>
    <mergeCell ref="Q1:U1"/>
    <mergeCell ref="B21:F21"/>
    <mergeCell ref="G21:K21"/>
    <mergeCell ref="B40:F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G1" s="2" t="s">
        <v>1</v>
      </c>
      <c r="L1" s="3" t="s">
        <v>2</v>
      </c>
      <c r="Q1" s="4" t="s">
        <v>3</v>
      </c>
    </row>
    <row r="2">
      <c r="A2" s="5" t="s">
        <v>4</v>
      </c>
      <c r="B2" s="5" t="s">
        <v>5</v>
      </c>
      <c r="C2" s="1"/>
      <c r="D2" s="5" t="s">
        <v>6</v>
      </c>
      <c r="E2" s="5" t="s">
        <v>5</v>
      </c>
      <c r="F2" s="1"/>
      <c r="G2" s="5" t="s">
        <v>5</v>
      </c>
      <c r="H2" s="1"/>
      <c r="I2" s="1"/>
      <c r="J2" s="1"/>
      <c r="K2" s="1"/>
      <c r="L2" s="5" t="s">
        <v>5</v>
      </c>
      <c r="M2" s="1"/>
      <c r="N2" s="1"/>
      <c r="O2" s="1"/>
      <c r="P2" s="1"/>
      <c r="Q2" s="5" t="s">
        <v>5</v>
      </c>
      <c r="R2" s="1"/>
      <c r="S2" s="1"/>
      <c r="T2" s="1"/>
      <c r="U2" s="1"/>
    </row>
    <row r="3">
      <c r="A3" s="5" t="s">
        <v>7</v>
      </c>
      <c r="B3" s="5">
        <v>1368475.0</v>
      </c>
      <c r="C3" s="1"/>
      <c r="D3" s="1" t="s">
        <v>7</v>
      </c>
      <c r="E3" s="5">
        <v>2756618.0</v>
      </c>
      <c r="F3" s="1"/>
      <c r="G3" s="5">
        <v>3827388.0</v>
      </c>
      <c r="H3" s="1"/>
      <c r="I3" s="1"/>
      <c r="J3" s="1"/>
      <c r="K3" s="1"/>
      <c r="L3" s="5">
        <v>1633326.0</v>
      </c>
      <c r="M3" s="1"/>
      <c r="N3" s="1"/>
      <c r="O3" s="1"/>
      <c r="P3" s="1"/>
      <c r="Q3" s="5">
        <v>1534630.0</v>
      </c>
      <c r="R3" s="1"/>
      <c r="S3" s="1"/>
      <c r="T3" s="1"/>
      <c r="U3" s="1"/>
    </row>
    <row r="4">
      <c r="A4" s="5" t="s">
        <v>8</v>
      </c>
      <c r="B4" s="5">
        <v>6573000.0</v>
      </c>
      <c r="C4" s="1"/>
      <c r="D4" s="1" t="s">
        <v>9</v>
      </c>
      <c r="E4" s="5">
        <v>6504000.0</v>
      </c>
      <c r="F4" s="1"/>
      <c r="G4" s="5">
        <v>5.7163157E7</v>
      </c>
      <c r="H4" s="1"/>
      <c r="I4" s="1"/>
      <c r="J4" s="1"/>
      <c r="K4" s="1"/>
      <c r="L4" s="5">
        <v>3850000.0</v>
      </c>
      <c r="M4" s="1"/>
      <c r="N4" s="1"/>
      <c r="O4" s="1"/>
      <c r="P4" s="1"/>
      <c r="Q4" s="5">
        <v>4.3131E7</v>
      </c>
      <c r="R4" s="1"/>
      <c r="S4" s="1"/>
      <c r="T4" s="1"/>
      <c r="U4" s="1"/>
    </row>
    <row r="5">
      <c r="A5" s="5" t="s">
        <v>10</v>
      </c>
      <c r="B5" s="5">
        <v>163000.0</v>
      </c>
      <c r="C5" s="1"/>
      <c r="D5" s="1" t="s">
        <v>11</v>
      </c>
      <c r="E5" s="5">
        <v>1998789.0</v>
      </c>
      <c r="F5" s="1"/>
      <c r="G5" s="5">
        <v>1119103.0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5" t="s">
        <v>12</v>
      </c>
      <c r="B6" s="1">
        <f>SUM(B3:B5)</f>
        <v>8104475</v>
      </c>
      <c r="C6" s="1"/>
      <c r="D6" s="1" t="s">
        <v>12</v>
      </c>
      <c r="E6" s="1">
        <f>SUM(E3:E5)</f>
        <v>11259407</v>
      </c>
      <c r="F6" s="1"/>
      <c r="G6" s="1">
        <f>SUM(G3:G5)</f>
        <v>62109648</v>
      </c>
      <c r="H6" s="1"/>
      <c r="I6" s="1"/>
      <c r="J6" s="1"/>
      <c r="K6" s="1"/>
      <c r="L6" s="1">
        <f>SUM(L3:L5)</f>
        <v>5483326</v>
      </c>
      <c r="M6" s="1"/>
      <c r="N6" s="1"/>
      <c r="O6" s="1"/>
      <c r="P6" s="1"/>
      <c r="Q6" s="1">
        <f>SUM(Q3:Q5)</f>
        <v>44665630</v>
      </c>
      <c r="R6" s="1"/>
      <c r="S6" s="1"/>
      <c r="T6" s="1"/>
      <c r="U6" s="1"/>
    </row>
    <row r="7">
      <c r="A7" s="5"/>
      <c r="B7" s="1"/>
      <c r="C7" s="1"/>
      <c r="D7" s="5" t="s">
        <v>13</v>
      </c>
      <c r="E7" s="1">
        <f>SUM(E3,E5)</f>
        <v>4755407</v>
      </c>
      <c r="F7" s="1"/>
      <c r="G7" s="1">
        <f>SUM(G3,G5)</f>
        <v>4946491</v>
      </c>
      <c r="H7" s="1"/>
      <c r="I7" s="1"/>
      <c r="J7" s="1"/>
      <c r="K7" s="1"/>
      <c r="L7" s="1">
        <f>SUM(L3)</f>
        <v>1633326</v>
      </c>
      <c r="M7" s="1"/>
      <c r="N7" s="1"/>
      <c r="O7" s="1"/>
      <c r="P7" s="1"/>
      <c r="Q7" s="1">
        <f>SUM(Q3)</f>
        <v>1534630</v>
      </c>
      <c r="R7" s="1"/>
      <c r="S7" s="1"/>
      <c r="T7" s="1"/>
      <c r="U7" s="1"/>
    </row>
    <row r="9">
      <c r="A9" s="1" t="s">
        <v>14</v>
      </c>
      <c r="B9" s="1" t="s">
        <v>5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5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5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5</v>
      </c>
      <c r="R9" s="1" t="s">
        <v>15</v>
      </c>
      <c r="S9" s="1" t="s">
        <v>16</v>
      </c>
      <c r="T9" s="1" t="s">
        <v>17</v>
      </c>
      <c r="U9" s="1" t="s">
        <v>18</v>
      </c>
    </row>
    <row r="10">
      <c r="A10" s="6" t="s">
        <v>20</v>
      </c>
      <c r="B10" s="8">
        <v>2629282.0</v>
      </c>
      <c r="C10" s="8">
        <v>262.2935</v>
      </c>
      <c r="D10" s="8">
        <v>1694.176</v>
      </c>
      <c r="E10" s="8">
        <v>1714.176</v>
      </c>
      <c r="F10" s="8">
        <v>81.606</v>
      </c>
      <c r="G10" s="8">
        <v>1831888.0</v>
      </c>
      <c r="H10" s="8">
        <v>182.5812</v>
      </c>
      <c r="I10" s="8">
        <v>1360.6608</v>
      </c>
      <c r="J10" s="8">
        <v>1380.6608</v>
      </c>
      <c r="K10" s="8">
        <v>86.292</v>
      </c>
      <c r="L10" s="8">
        <v>8526751.0</v>
      </c>
      <c r="M10" s="8">
        <v>823.6945</v>
      </c>
      <c r="N10" s="8">
        <v>66299.7414</v>
      </c>
      <c r="O10" s="8">
        <v>67299.7414</v>
      </c>
      <c r="P10" s="8">
        <v>94.258</v>
      </c>
      <c r="Q10" s="8">
        <v>7962423.0</v>
      </c>
      <c r="R10" s="8">
        <v>768.1032</v>
      </c>
      <c r="S10" s="8">
        <v>52036.4863</v>
      </c>
      <c r="T10" s="8">
        <v>53036.4863</v>
      </c>
      <c r="U10" s="8">
        <v>86.328</v>
      </c>
    </row>
    <row r="11">
      <c r="A11" s="6" t="s">
        <v>21</v>
      </c>
      <c r="B11" s="8">
        <v>3417565.0</v>
      </c>
      <c r="C11" s="8">
        <v>341.1039</v>
      </c>
      <c r="D11" s="8">
        <v>2123.4064</v>
      </c>
      <c r="E11" s="8">
        <v>2153.4064</v>
      </c>
      <c r="F11" s="8">
        <v>86.167</v>
      </c>
      <c r="G11" s="8">
        <v>2229585.0</v>
      </c>
      <c r="H11" s="8">
        <v>222.3377</v>
      </c>
      <c r="I11" s="8">
        <v>1653.8036</v>
      </c>
      <c r="J11" s="8">
        <v>1683.8036</v>
      </c>
      <c r="K11" s="8">
        <v>89.715</v>
      </c>
      <c r="L11" s="8">
        <v>1.0432528E7</v>
      </c>
      <c r="M11" s="8">
        <v>1013.1197</v>
      </c>
      <c r="N11" s="8">
        <v>86011.1755</v>
      </c>
      <c r="O11" s="8">
        <v>87511.1755</v>
      </c>
      <c r="P11" s="8">
        <v>95.251</v>
      </c>
      <c r="Q11" s="8">
        <v>6878352.0</v>
      </c>
      <c r="R11" s="8">
        <v>659.137</v>
      </c>
      <c r="S11" s="8">
        <v>62597.6302</v>
      </c>
      <c r="T11" s="8">
        <v>64097.6302</v>
      </c>
      <c r="U11" s="8">
        <v>89.142</v>
      </c>
    </row>
    <row r="12">
      <c r="A12" s="6" t="s">
        <v>22</v>
      </c>
      <c r="B12" s="8">
        <v>3938816.0</v>
      </c>
      <c r="C12" s="8">
        <v>393.1797</v>
      </c>
      <c r="D12" s="8">
        <v>2545.5426</v>
      </c>
      <c r="E12" s="8">
        <v>2585.5426</v>
      </c>
      <c r="F12" s="8">
        <v>88.88</v>
      </c>
      <c r="G12" s="8">
        <v>2255282.0</v>
      </c>
      <c r="H12" s="8">
        <v>224.8849</v>
      </c>
      <c r="I12" s="8">
        <v>1929.7563</v>
      </c>
      <c r="J12" s="8">
        <v>1969.7563</v>
      </c>
      <c r="K12" s="8">
        <v>91.442</v>
      </c>
      <c r="L12" s="8">
        <v>1.0887034E7</v>
      </c>
      <c r="M12" s="8">
        <v>1057.4827</v>
      </c>
      <c r="N12" s="8">
        <v>105211.7006</v>
      </c>
      <c r="O12" s="8">
        <v>107211.7006</v>
      </c>
      <c r="P12" s="8">
        <v>95.77</v>
      </c>
      <c r="Q12" s="8">
        <v>6926372.0</v>
      </c>
      <c r="R12" s="8">
        <v>663.29</v>
      </c>
      <c r="S12" s="8">
        <v>72444.1473</v>
      </c>
      <c r="T12" s="8">
        <v>74444.1473</v>
      </c>
      <c r="U12" s="8">
        <v>90.571</v>
      </c>
    </row>
    <row r="13">
      <c r="A13" s="6" t="s">
        <v>23</v>
      </c>
      <c r="B13" s="8">
        <v>4206129.0</v>
      </c>
      <c r="C13" s="8">
        <v>419.8855</v>
      </c>
      <c r="D13" s="8">
        <v>2959.201</v>
      </c>
      <c r="E13" s="8">
        <v>3009.201</v>
      </c>
      <c r="F13" s="8">
        <v>90.59</v>
      </c>
      <c r="G13" s="8">
        <v>3060349.0</v>
      </c>
      <c r="H13" s="8">
        <v>305.3176</v>
      </c>
      <c r="I13" s="8">
        <v>2201.3559</v>
      </c>
      <c r="J13" s="8">
        <v>2251.3559</v>
      </c>
      <c r="K13" s="8">
        <v>92.499</v>
      </c>
      <c r="L13" s="8">
        <v>1.2263625E7</v>
      </c>
      <c r="M13" s="8">
        <v>1193.4604</v>
      </c>
      <c r="N13" s="8">
        <v>123934.6669</v>
      </c>
      <c r="O13" s="8">
        <v>126434.6669</v>
      </c>
      <c r="P13" s="8">
        <v>96.037</v>
      </c>
      <c r="Q13" s="8">
        <v>6916925.0</v>
      </c>
      <c r="R13" s="8">
        <v>661.7533</v>
      </c>
      <c r="S13" s="8">
        <v>81901.9554</v>
      </c>
      <c r="T13" s="8">
        <v>84401.9554</v>
      </c>
      <c r="U13" s="8">
        <v>91.648</v>
      </c>
    </row>
    <row r="14">
      <c r="A14" s="6" t="s">
        <v>24</v>
      </c>
      <c r="B14" s="8">
        <v>3508094.0</v>
      </c>
      <c r="C14" s="8">
        <v>350.0355</v>
      </c>
      <c r="D14" s="8">
        <v>3525.5428</v>
      </c>
      <c r="E14" s="8">
        <v>3589.5428</v>
      </c>
      <c r="F14" s="8">
        <v>91.823</v>
      </c>
      <c r="G14" s="8">
        <v>3680304.0</v>
      </c>
      <c r="H14" s="8">
        <v>367.3549</v>
      </c>
      <c r="I14" s="8">
        <v>2562.8561</v>
      </c>
      <c r="J14" s="8">
        <v>2626.8561</v>
      </c>
      <c r="K14" s="8">
        <v>93.543</v>
      </c>
      <c r="L14" s="8">
        <v>1.5279725E7</v>
      </c>
      <c r="M14" s="8">
        <v>1493.8409</v>
      </c>
      <c r="N14" s="8">
        <v>149407.0305</v>
      </c>
      <c r="O14" s="8">
        <v>152607.0305</v>
      </c>
      <c r="P14" s="8">
        <v>96.283</v>
      </c>
      <c r="Q14" s="8">
        <v>7348342.0</v>
      </c>
      <c r="R14" s="8">
        <v>704.1786</v>
      </c>
      <c r="S14" s="8">
        <v>94529.5051</v>
      </c>
      <c r="T14" s="8">
        <v>97729.5051</v>
      </c>
      <c r="U14" s="8">
        <v>92.597</v>
      </c>
    </row>
    <row r="15">
      <c r="A15" s="6" t="s">
        <v>25</v>
      </c>
      <c r="B15" s="8">
        <v>6881349.0</v>
      </c>
      <c r="C15" s="8">
        <v>687.1565</v>
      </c>
      <c r="D15" s="8">
        <v>6023.005</v>
      </c>
      <c r="E15" s="8">
        <v>6151.005</v>
      </c>
      <c r="F15" s="8">
        <v>94.337</v>
      </c>
      <c r="G15" s="8">
        <v>5358106.0</v>
      </c>
      <c r="H15" s="8">
        <v>535.0016</v>
      </c>
      <c r="I15" s="8">
        <v>4118.251</v>
      </c>
      <c r="J15" s="8">
        <v>4246.251</v>
      </c>
      <c r="K15" s="8">
        <v>95.349</v>
      </c>
      <c r="Q15" s="8">
        <v>1.482502E7</v>
      </c>
      <c r="R15" s="8">
        <v>1447.9404</v>
      </c>
      <c r="S15" s="8">
        <v>147895.4394</v>
      </c>
      <c r="T15" s="8">
        <v>154295.4394</v>
      </c>
      <c r="U15" s="8">
        <v>94.435</v>
      </c>
    </row>
    <row r="16">
      <c r="A16" s="6" t="s">
        <v>26</v>
      </c>
      <c r="B16" s="8">
        <v>1.3306673E7</v>
      </c>
      <c r="C16" s="8">
        <v>1329.3431</v>
      </c>
      <c r="D16" s="8">
        <v>10567.8034</v>
      </c>
      <c r="E16" s="8">
        <v>10823.8034</v>
      </c>
      <c r="F16" s="8">
        <v>95.49</v>
      </c>
      <c r="G16" s="8">
        <v>1.0296164E7</v>
      </c>
      <c r="H16" s="8">
        <v>1028.5699</v>
      </c>
      <c r="I16" s="8">
        <v>6880.4559</v>
      </c>
      <c r="J16" s="8">
        <v>7136.4559</v>
      </c>
      <c r="K16" s="8">
        <v>96.189</v>
      </c>
    </row>
    <row r="17">
      <c r="A17" s="6" t="s">
        <v>27</v>
      </c>
      <c r="B17" s="8">
        <v>2.0453228E7</v>
      </c>
      <c r="C17" s="8">
        <v>2043.2945</v>
      </c>
      <c r="D17" s="8">
        <v>18685.838</v>
      </c>
      <c r="E17" s="8">
        <v>19197.838</v>
      </c>
      <c r="F17" s="8">
        <v>96.108</v>
      </c>
      <c r="G17" s="8">
        <v>1.3918403E7</v>
      </c>
      <c r="H17" s="8">
        <v>1390.3642</v>
      </c>
      <c r="I17" s="8">
        <v>11782.3751</v>
      </c>
      <c r="J17" s="8">
        <v>12294.3751</v>
      </c>
      <c r="K17" s="8">
        <v>96.586</v>
      </c>
    </row>
    <row r="20">
      <c r="A20" s="1"/>
      <c r="B20" s="4" t="s">
        <v>28</v>
      </c>
      <c r="G20" s="4"/>
    </row>
    <row r="21">
      <c r="A21" s="5" t="s">
        <v>6</v>
      </c>
      <c r="B21" s="5" t="s">
        <v>5</v>
      </c>
      <c r="C21" s="1"/>
      <c r="D21" s="1"/>
      <c r="E21" s="1"/>
      <c r="F21" s="1"/>
      <c r="G21" s="5"/>
      <c r="H21" s="1"/>
      <c r="I21" s="1"/>
      <c r="J21" s="1"/>
      <c r="K21" s="1"/>
    </row>
    <row r="22">
      <c r="A22" s="1" t="s">
        <v>7</v>
      </c>
      <c r="B22" s="14">
        <v>4564563.0</v>
      </c>
      <c r="C22" s="1"/>
      <c r="D22" s="1"/>
      <c r="E22" s="1"/>
      <c r="F22" s="1"/>
      <c r="G22" s="5"/>
      <c r="H22" s="1"/>
      <c r="I22" s="1"/>
      <c r="J22" s="1"/>
      <c r="K22" s="1"/>
    </row>
    <row r="23">
      <c r="A23" s="1" t="s">
        <v>9</v>
      </c>
      <c r="B23" s="14">
        <v>2.4097314E7</v>
      </c>
      <c r="C23" s="1"/>
      <c r="D23" s="1"/>
      <c r="E23" s="1"/>
      <c r="F23" s="1"/>
      <c r="G23" s="5"/>
      <c r="H23" s="1"/>
      <c r="I23" s="1"/>
      <c r="J23" s="1"/>
      <c r="K23" s="1"/>
    </row>
    <row r="24">
      <c r="A24" s="1" t="s">
        <v>11</v>
      </c>
      <c r="B24" s="14">
        <v>647169.0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12</v>
      </c>
      <c r="B25" s="1">
        <f>SUM(B22:B24)</f>
        <v>29309046</v>
      </c>
      <c r="C25" s="1"/>
      <c r="D25" s="1"/>
      <c r="E25" s="1"/>
      <c r="F25" s="1"/>
      <c r="G25" s="1"/>
      <c r="H25" s="1"/>
      <c r="I25" s="1"/>
      <c r="J25" s="1"/>
      <c r="K25" s="1"/>
    </row>
    <row r="27">
      <c r="A27" s="1" t="s">
        <v>14</v>
      </c>
      <c r="B27" s="1" t="s">
        <v>5</v>
      </c>
      <c r="C27" s="1" t="s">
        <v>15</v>
      </c>
      <c r="D27" s="1" t="s">
        <v>16</v>
      </c>
      <c r="E27" s="1" t="s">
        <v>17</v>
      </c>
      <c r="F27" s="1" t="s">
        <v>18</v>
      </c>
    </row>
    <row r="28">
      <c r="A28" s="7" t="s">
        <v>37</v>
      </c>
      <c r="B28" s="8">
        <v>786487.0</v>
      </c>
      <c r="C28" s="8">
        <v>78.1105</v>
      </c>
      <c r="D28" s="8">
        <v>515.3342</v>
      </c>
      <c r="E28" s="8">
        <v>520.3342</v>
      </c>
      <c r="F28" s="8">
        <v>53.31</v>
      </c>
    </row>
    <row r="29">
      <c r="A29" s="7" t="s">
        <v>38</v>
      </c>
      <c r="B29" s="8">
        <v>722448.0</v>
      </c>
      <c r="C29" s="8">
        <v>71.6944</v>
      </c>
      <c r="D29" s="8">
        <v>651.9702</v>
      </c>
      <c r="E29" s="8">
        <v>661.9702</v>
      </c>
      <c r="F29" s="8">
        <v>68.97</v>
      </c>
    </row>
    <row r="30">
      <c r="A30" s="7" t="s">
        <v>39</v>
      </c>
      <c r="B30" s="8">
        <v>870895.0</v>
      </c>
      <c r="C30" s="8">
        <v>86.5328</v>
      </c>
      <c r="D30" s="8">
        <v>838.9196</v>
      </c>
      <c r="E30" s="8">
        <v>858.9196</v>
      </c>
      <c r="F30" s="8">
        <v>79.2</v>
      </c>
    </row>
    <row r="31">
      <c r="A31" s="7" t="s">
        <v>40</v>
      </c>
      <c r="B31" s="8">
        <v>892959.0</v>
      </c>
      <c r="C31" s="8">
        <v>88.7255</v>
      </c>
      <c r="D31" s="8">
        <v>1010.3106</v>
      </c>
      <c r="E31" s="8">
        <v>1040.3106</v>
      </c>
      <c r="F31" s="8">
        <v>83.68</v>
      </c>
    </row>
    <row r="32">
      <c r="A32" s="7" t="s">
        <v>41</v>
      </c>
      <c r="B32" s="8">
        <v>1737175.0</v>
      </c>
      <c r="C32" s="8">
        <v>173.1375</v>
      </c>
      <c r="D32" s="8">
        <v>1173.6793</v>
      </c>
      <c r="E32" s="8">
        <v>1213.6793</v>
      </c>
      <c r="F32" s="8">
        <v>86.25</v>
      </c>
    </row>
    <row r="33">
      <c r="A33" s="7" t="s">
        <v>42</v>
      </c>
      <c r="B33" s="8">
        <v>1735720.0</v>
      </c>
      <c r="C33" s="8">
        <v>172.9749</v>
      </c>
      <c r="D33" s="8">
        <v>1326.4111</v>
      </c>
      <c r="E33" s="8">
        <v>1376.4111</v>
      </c>
      <c r="F33" s="8">
        <v>87.46</v>
      </c>
    </row>
    <row r="34">
      <c r="A34" s="7" t="s">
        <v>43</v>
      </c>
      <c r="B34" s="8">
        <v>1414581.0</v>
      </c>
      <c r="C34" s="8">
        <v>140.8608</v>
      </c>
      <c r="D34" s="8">
        <v>1486.7132</v>
      </c>
      <c r="E34" s="8">
        <v>1546.7132</v>
      </c>
      <c r="F34" s="8">
        <v>88.4</v>
      </c>
    </row>
    <row r="35">
      <c r="A35" s="7"/>
      <c r="B35" s="7"/>
      <c r="C35" s="7"/>
      <c r="D35" s="7"/>
      <c r="E35" s="7"/>
      <c r="F35" s="7"/>
    </row>
    <row r="36">
      <c r="A36" s="7" t="s">
        <v>20</v>
      </c>
      <c r="B36" s="8">
        <v>1220155.0</v>
      </c>
      <c r="C36" s="8">
        <v>121.449</v>
      </c>
      <c r="D36" s="8">
        <v>841.3246</v>
      </c>
      <c r="E36" s="8">
        <v>861.3246</v>
      </c>
      <c r="F36" s="8">
        <v>79.086</v>
      </c>
    </row>
    <row r="37">
      <c r="A37" s="7" t="s">
        <v>21</v>
      </c>
      <c r="B37" s="8">
        <v>1323448.0</v>
      </c>
      <c r="C37" s="8">
        <v>131.7592</v>
      </c>
      <c r="D37" s="8">
        <v>1009.9329</v>
      </c>
      <c r="E37" s="8">
        <v>1039.9329</v>
      </c>
      <c r="F37" s="8">
        <v>84.131</v>
      </c>
    </row>
    <row r="38">
      <c r="A38" s="7" t="s">
        <v>22</v>
      </c>
      <c r="B38" s="8">
        <v>1524122.0</v>
      </c>
      <c r="C38" s="8">
        <v>151.8058</v>
      </c>
      <c r="D38" s="8">
        <v>1169.5308</v>
      </c>
      <c r="E38" s="8">
        <v>1209.5308</v>
      </c>
      <c r="F38" s="8">
        <v>86.656</v>
      </c>
    </row>
    <row r="39">
      <c r="A39" s="7" t="s">
        <v>23</v>
      </c>
      <c r="B39" s="8">
        <v>1747059.0</v>
      </c>
      <c r="C39" s="8">
        <v>174.0946</v>
      </c>
      <c r="D39" s="8">
        <v>1328.8945</v>
      </c>
      <c r="E39" s="8">
        <v>1378.8945</v>
      </c>
      <c r="F39" s="8">
        <v>88.448</v>
      </c>
    </row>
    <row r="40">
      <c r="A40" s="7" t="s">
        <v>24</v>
      </c>
      <c r="B40" s="8">
        <v>2080199.0</v>
      </c>
      <c r="C40" s="8">
        <v>207.39</v>
      </c>
      <c r="D40" s="8">
        <v>1540.4093</v>
      </c>
      <c r="E40" s="8">
        <v>1604.4093</v>
      </c>
      <c r="F40" s="8">
        <v>90.034</v>
      </c>
    </row>
    <row r="41">
      <c r="A41" s="7" t="s">
        <v>25</v>
      </c>
      <c r="B41" s="8">
        <v>2513142.0</v>
      </c>
      <c r="C41" s="8">
        <v>250.6159</v>
      </c>
      <c r="D41" s="8">
        <v>2464.95</v>
      </c>
      <c r="E41" s="8">
        <v>2592.95</v>
      </c>
      <c r="F41" s="8">
        <v>93.07</v>
      </c>
    </row>
    <row r="42">
      <c r="A42" s="7" t="s">
        <v>26</v>
      </c>
      <c r="B42" s="8">
        <v>3851013.0</v>
      </c>
      <c r="C42" s="8">
        <v>384.2894</v>
      </c>
      <c r="D42" s="8">
        <v>4158.696</v>
      </c>
      <c r="E42" s="8">
        <v>4414.696</v>
      </c>
      <c r="F42" s="8">
        <v>94.736</v>
      </c>
    </row>
    <row r="43">
      <c r="A43" s="7" t="s">
        <v>27</v>
      </c>
      <c r="B43" s="8">
        <v>6773220.0</v>
      </c>
      <c r="C43" s="8">
        <v>676.2534</v>
      </c>
      <c r="D43" s="8">
        <v>7232.8373</v>
      </c>
      <c r="E43" s="8">
        <v>7744.8373</v>
      </c>
      <c r="F43" s="8">
        <v>95.675</v>
      </c>
    </row>
  </sheetData>
  <mergeCells count="6">
    <mergeCell ref="B1:F1"/>
    <mergeCell ref="G1:K1"/>
    <mergeCell ref="L1:P1"/>
    <mergeCell ref="Q1:U1"/>
    <mergeCell ref="B20:F20"/>
    <mergeCell ref="G20:K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/>
      <c r="B1" s="2" t="s">
        <v>0</v>
      </c>
      <c r="G1" s="2" t="s">
        <v>1</v>
      </c>
      <c r="L1" s="3" t="s">
        <v>2</v>
      </c>
      <c r="Q1" s="4"/>
    </row>
    <row r="2">
      <c r="A2" s="5" t="s">
        <v>4</v>
      </c>
      <c r="B2" s="5" t="s">
        <v>5</v>
      </c>
      <c r="C2" s="1"/>
      <c r="D2" s="5" t="s">
        <v>6</v>
      </c>
      <c r="E2" s="5" t="s">
        <v>5</v>
      </c>
      <c r="F2" s="1"/>
      <c r="G2" s="5" t="s">
        <v>5</v>
      </c>
      <c r="H2" s="1"/>
      <c r="I2" s="1"/>
      <c r="J2" s="1"/>
      <c r="K2" s="1"/>
      <c r="L2" s="5" t="s">
        <v>5</v>
      </c>
      <c r="M2" s="1"/>
      <c r="N2" s="1"/>
      <c r="O2" s="1"/>
      <c r="P2" s="1"/>
      <c r="Q2" s="5"/>
      <c r="R2" s="1"/>
      <c r="S2" s="1"/>
      <c r="T2" s="1"/>
      <c r="U2" s="1"/>
    </row>
    <row r="3">
      <c r="A3" s="5" t="s">
        <v>7</v>
      </c>
      <c r="B3" s="5">
        <v>1544559.0</v>
      </c>
      <c r="C3" s="1"/>
      <c r="D3" s="1" t="s">
        <v>7</v>
      </c>
      <c r="E3" s="5">
        <v>1345158.0</v>
      </c>
      <c r="F3" s="1"/>
      <c r="G3" s="5">
        <v>1849936.0</v>
      </c>
      <c r="H3" s="1"/>
      <c r="I3" s="1"/>
      <c r="J3" s="1"/>
      <c r="K3" s="1"/>
      <c r="L3" s="5">
        <v>793005.0</v>
      </c>
      <c r="M3" s="1"/>
      <c r="N3" s="1"/>
      <c r="O3" s="1"/>
      <c r="P3" s="1"/>
      <c r="Q3" s="5"/>
      <c r="R3" s="1"/>
      <c r="S3" s="1"/>
      <c r="T3" s="1"/>
      <c r="U3" s="1"/>
    </row>
    <row r="4">
      <c r="A4" s="5" t="s">
        <v>8</v>
      </c>
      <c r="B4" s="5">
        <v>2.8745E7</v>
      </c>
      <c r="C4" s="1"/>
      <c r="D4" s="1" t="s">
        <v>9</v>
      </c>
      <c r="E4" s="5">
        <v>2.7676E7</v>
      </c>
      <c r="F4" s="1"/>
      <c r="G4" s="5">
        <v>8.3731965E7</v>
      </c>
      <c r="H4" s="1"/>
      <c r="I4" s="1"/>
      <c r="J4" s="1"/>
      <c r="K4" s="1"/>
      <c r="L4" s="5">
        <v>1.7362E7</v>
      </c>
      <c r="M4" s="1"/>
      <c r="N4" s="1"/>
      <c r="O4" s="1"/>
      <c r="P4" s="1"/>
      <c r="Q4" s="5"/>
      <c r="R4" s="1"/>
      <c r="S4" s="1"/>
      <c r="T4" s="1"/>
      <c r="U4" s="1"/>
    </row>
    <row r="5">
      <c r="A5" s="5" t="s">
        <v>10</v>
      </c>
      <c r="B5" s="5">
        <v>8243000.0</v>
      </c>
      <c r="C5" s="1"/>
      <c r="D5" s="1" t="s">
        <v>11</v>
      </c>
      <c r="E5" s="5">
        <v>4.1596877E7</v>
      </c>
      <c r="F5" s="1"/>
      <c r="G5" s="5">
        <v>3.3457823E7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5" t="s">
        <v>12</v>
      </c>
      <c r="B6" s="1">
        <f>SUM(B3:B5)</f>
        <v>38532559</v>
      </c>
      <c r="C6" s="1"/>
      <c r="D6" s="1" t="s">
        <v>12</v>
      </c>
      <c r="E6" s="1">
        <f>SUM(E3:E5)</f>
        <v>70618035</v>
      </c>
      <c r="F6" s="1"/>
      <c r="G6" s="1">
        <f>SUM(G3:G5)</f>
        <v>119039724</v>
      </c>
      <c r="H6" s="1"/>
      <c r="I6" s="1"/>
      <c r="J6" s="1"/>
      <c r="K6" s="1"/>
      <c r="L6" s="1">
        <f>SUM(L3:L5)</f>
        <v>18155005</v>
      </c>
      <c r="M6" s="1"/>
      <c r="N6" s="1"/>
      <c r="O6" s="1"/>
      <c r="P6" s="1"/>
      <c r="Q6" s="1"/>
      <c r="R6" s="1"/>
      <c r="S6" s="1"/>
      <c r="T6" s="1"/>
      <c r="U6" s="1"/>
    </row>
    <row r="7">
      <c r="A7" s="5"/>
      <c r="B7" s="1"/>
      <c r="C7" s="1"/>
      <c r="D7" s="5" t="s">
        <v>13</v>
      </c>
      <c r="E7" s="1">
        <f>SUM(E3,E5)</f>
        <v>42942035</v>
      </c>
      <c r="F7" s="1"/>
      <c r="G7" s="1">
        <f>SUM(G3,G5)</f>
        <v>35307759</v>
      </c>
      <c r="H7" s="1"/>
      <c r="I7" s="1"/>
      <c r="J7" s="1"/>
      <c r="K7" s="1"/>
      <c r="L7" s="1">
        <f>SUM(L3)</f>
        <v>793005</v>
      </c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11">
      <c r="A11" s="1"/>
      <c r="B11" s="4" t="s">
        <v>28</v>
      </c>
      <c r="G11" s="4" t="s">
        <v>32</v>
      </c>
    </row>
    <row r="12">
      <c r="A12" s="5" t="s">
        <v>6</v>
      </c>
      <c r="B12" s="5" t="s">
        <v>5</v>
      </c>
      <c r="C12" s="1"/>
      <c r="D12" s="1"/>
      <c r="E12" s="1"/>
      <c r="F12" s="1"/>
      <c r="G12" s="5" t="s">
        <v>5</v>
      </c>
      <c r="H12" s="1"/>
      <c r="I12" s="1"/>
      <c r="J12" s="1"/>
      <c r="K12" s="1"/>
    </row>
    <row r="13">
      <c r="A13" s="1" t="s">
        <v>7</v>
      </c>
      <c r="B13" s="5">
        <v>1976723.0</v>
      </c>
      <c r="C13" s="1"/>
      <c r="D13" s="1"/>
      <c r="E13" s="1"/>
      <c r="F13" s="1"/>
      <c r="G13" s="5">
        <v>874096.0</v>
      </c>
      <c r="H13" s="1"/>
      <c r="I13" s="1"/>
      <c r="J13" s="1"/>
      <c r="K13" s="1"/>
    </row>
    <row r="14">
      <c r="A14" s="1" t="s">
        <v>9</v>
      </c>
      <c r="B14" s="5">
        <v>3.3147939E7</v>
      </c>
      <c r="C14" s="1"/>
      <c r="D14" s="1"/>
      <c r="E14" s="1"/>
      <c r="F14" s="1"/>
      <c r="G14" s="5">
        <v>1.3025E7</v>
      </c>
      <c r="H14" s="1"/>
      <c r="I14" s="1"/>
      <c r="J14" s="1"/>
      <c r="K14" s="1"/>
    </row>
    <row r="15">
      <c r="A15" s="1" t="s">
        <v>11</v>
      </c>
      <c r="B15" s="5">
        <v>1.5926836E7</v>
      </c>
      <c r="C15" s="1"/>
      <c r="D15" s="1"/>
      <c r="E15" s="1"/>
      <c r="F15" s="1"/>
      <c r="G15" s="1"/>
      <c r="H15" s="1"/>
      <c r="I15" s="1"/>
      <c r="J15" s="1"/>
      <c r="K15" s="1"/>
    </row>
    <row r="16">
      <c r="A16" s="1" t="s">
        <v>12</v>
      </c>
      <c r="B16" s="1">
        <f>SUM(B13:B15)</f>
        <v>51051498</v>
      </c>
      <c r="C16" s="1"/>
      <c r="D16" s="1"/>
      <c r="E16" s="1"/>
      <c r="F16" s="1"/>
      <c r="G16" s="1">
        <f>SUM(G13:G15)</f>
        <v>13899096</v>
      </c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>
        <f>SUM(G13)</f>
        <v>874096</v>
      </c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</sheetData>
  <mergeCells count="6">
    <mergeCell ref="B1:F1"/>
    <mergeCell ref="G1:K1"/>
    <mergeCell ref="L1:P1"/>
    <mergeCell ref="Q1:U1"/>
    <mergeCell ref="B11:F11"/>
    <mergeCell ref="G11:K11"/>
  </mergeCells>
  <drawing r:id="rId1"/>
</worksheet>
</file>